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70" yWindow="1170" windowWidth="21600" windowHeight="15255" tabRatio="600" firstSheet="1" activeTab="1" autoFilterDateGrouping="1"/>
  </bookViews>
  <sheets>
    <sheet xmlns:r="http://schemas.openxmlformats.org/officeDocument/2006/relationships" name="Example - Detail Testing" sheetId="1" state="hidden" r:id="rId1"/>
    <sheet xmlns:r="http://schemas.openxmlformats.org/officeDocument/2006/relationships" name="Template" sheetId="2" state="visible" r:id="rId2"/>
  </sheets>
  <definedNames/>
  <calcPr calcId="191028" fullCalcOnLoad="1"/>
</workbook>
</file>

<file path=xl/styles.xml><?xml version="1.0" encoding="utf-8"?>
<styleSheet xmlns="http://schemas.openxmlformats.org/spreadsheetml/2006/main">
  <numFmts count="4">
    <numFmt numFmtId="164" formatCode="_(&quot;$&quot;* #,##0.00_);_(&quot;$&quot;* \(#,##0.00\);_(&quot;$&quot;* &quot;-&quot;??_);_(@_)"/>
    <numFmt numFmtId="165" formatCode="_(* #,##0_);_(* \(#,##0\);_(* &quot;-&quot;??_);_(@_)"/>
    <numFmt numFmtId="166" formatCode="[$-409]d\-mmm\-yy;@"/>
    <numFmt numFmtId="167" formatCode="_([$$-409]* #,##0.00_);_([$$-409]* \(#,##0.00\);_([$$-409]* &quot;-&quot;??_);_(@_)"/>
  </numFmts>
  <fonts count="36">
    <font>
      <name val="Calibri"/>
      <family val="2"/>
      <color theme="1"/>
      <sz val="11"/>
      <scheme val="minor"/>
    </font>
    <font>
      <name val="Arial"/>
      <family val="2"/>
      <color theme="1"/>
      <sz val="11"/>
    </font>
    <font>
      <name val="Arial"/>
      <family val="2"/>
      <b val="1"/>
      <color theme="1"/>
      <sz val="11"/>
    </font>
    <font>
      <name val="Arial"/>
      <family val="2"/>
      <i val="1"/>
      <color theme="1"/>
      <sz val="11"/>
    </font>
    <font>
      <name val="Arial"/>
      <family val="2"/>
      <b val="1"/>
      <color rgb="FFFF0000"/>
      <sz val="11"/>
    </font>
    <font>
      <name val="Arial"/>
      <family val="2"/>
      <b val="1"/>
      <sz val="11"/>
    </font>
    <font>
      <name val="Arial"/>
      <family val="2"/>
      <b val="1"/>
      <i val="1"/>
      <sz val="11"/>
    </font>
    <font>
      <name val="Arial"/>
      <family val="2"/>
      <color rgb="FF000000"/>
      <sz val="11"/>
    </font>
    <font>
      <name val="Calibri"/>
      <family val="2"/>
      <color theme="1"/>
      <sz val="11"/>
      <scheme val="minor"/>
    </font>
    <font>
      <name val="Calibri"/>
      <family val="2"/>
      <b val="1"/>
      <color theme="1"/>
      <sz val="11"/>
      <scheme val="minor"/>
    </font>
    <font>
      <name val="KPMG Logo"/>
      <sz val="24"/>
    </font>
    <font>
      <name val="Arial"/>
      <family val="2"/>
      <sz val="10"/>
    </font>
    <font>
      <name val="Arial"/>
      <family val="2"/>
      <b val="1"/>
      <sz val="16"/>
    </font>
    <font>
      <name val="Arial"/>
      <family val="2"/>
      <sz val="11"/>
    </font>
    <font>
      <name val="Arial"/>
      <family val="2"/>
      <b val="1"/>
      <color indexed="10"/>
      <sz val="11"/>
    </font>
    <font>
      <name val="Arial"/>
      <family val="2"/>
      <color rgb="FF000000"/>
      <sz val="8"/>
    </font>
    <font>
      <name val="Arial"/>
      <family val="2"/>
      <b val="1"/>
      <color rgb="FF000000"/>
      <sz val="11"/>
    </font>
    <font>
      <name val="Arial"/>
      <family val="2"/>
      <b val="1"/>
      <color rgb="FF000000"/>
      <sz val="9"/>
    </font>
    <font>
      <name val="Arial"/>
      <family val="2"/>
      <b val="1"/>
      <color rgb="FF000000"/>
      <sz val="8"/>
    </font>
    <font>
      <name val="Courier New"/>
      <family val="3"/>
      <b val="1"/>
      <color rgb="FF0058CD"/>
      <sz val="8"/>
    </font>
    <font>
      <name val="Courier New"/>
      <family val="3"/>
      <b val="1"/>
      <color rgb="FF0000FF"/>
      <sz val="8"/>
    </font>
    <font>
      <name val="Arial"/>
      <family val="2"/>
      <b val="1"/>
      <color rgb="FFEA4855"/>
      <sz val="8"/>
    </font>
    <font>
      <name val="Times New Roman"/>
      <family val="1"/>
      <b val="1"/>
      <color rgb="FF00BEA3"/>
      <sz val="8"/>
    </font>
    <font>
      <name val="Times New Roman"/>
      <family val="1"/>
      <b val="1"/>
      <i val="1"/>
      <color rgb="FF000000"/>
      <sz val="11"/>
    </font>
    <font>
      <name val="Arial"/>
      <family val="2"/>
      <b val="1"/>
      <i val="1"/>
      <color rgb="FFFF0000"/>
      <sz val="8"/>
    </font>
    <font>
      <name val="Arial"/>
      <family val="2"/>
      <b val="1"/>
      <color rgb="FF800080"/>
      <sz val="11"/>
    </font>
    <font>
      <name val="Times New Roman"/>
      <family val="1"/>
      <b val="1"/>
      <color rgb="FF000000"/>
      <sz val="8"/>
    </font>
    <font>
      <name val="Courier New"/>
      <family val="3"/>
      <b val="1"/>
      <color rgb="FF6435A2"/>
      <sz val="8"/>
    </font>
    <font>
      <name val="Segoe UI"/>
      <family val="2"/>
      <color rgb="FF000000"/>
      <sz val="9"/>
    </font>
    <font>
      <name val="Arial"/>
      <family val="2"/>
      <b val="1"/>
      <color rgb="FFFF9900"/>
      <sz val="8"/>
    </font>
    <font>
      <name val="Arial"/>
      <family val="2"/>
      <b val="1"/>
      <color rgb="FF3E97C1"/>
      <sz val="8"/>
    </font>
    <font>
      <name val="Arial"/>
      <family val="2"/>
      <b val="1"/>
      <color rgb="FF803600"/>
      <sz val="8"/>
    </font>
    <font>
      <name val="Arial"/>
      <family val="2"/>
      <b val="1"/>
      <color rgb="FF9B22DD"/>
      <sz val="8"/>
    </font>
    <font>
      <name val="Courier New"/>
      <family val="3"/>
      <color rgb="FF000000"/>
      <sz val="10"/>
    </font>
    <font>
      <sz val="10"/>
    </font>
    <font>
      <b val="1"/>
      <sz val="10"/>
    </font>
  </fonts>
  <fills count="5">
    <fill>
      <patternFill/>
    </fill>
    <fill>
      <patternFill patternType="gray125"/>
    </fill>
    <fill>
      <patternFill patternType="solid">
        <fgColor rgb="FFFFFF66"/>
        <bgColor indexed="64"/>
      </patternFill>
    </fill>
    <fill>
      <patternFill patternType="solid">
        <fgColor rgb="FFFFFF00"/>
        <bgColor indexed="64"/>
      </patternFill>
    </fill>
    <fill>
      <patternFill patternType="solid">
        <fgColor rgb="00D9E1F2"/>
        <bgColor rgb="00D9E1F2"/>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s>
  <cellStyleXfs count="35">
    <xf numFmtId="0" fontId="8" fillId="0" borderId="0"/>
    <xf numFmtId="43" fontId="8" fillId="0" borderId="0"/>
    <xf numFmtId="44" fontId="8" fillId="0" borderId="0"/>
    <xf numFmtId="0" fontId="15" fillId="0" borderId="0"/>
    <xf numFmtId="0" fontId="16" fillId="0" borderId="0"/>
    <xf numFmtId="0" fontId="17" fillId="0" borderId="0"/>
    <xf numFmtId="0" fontId="17" fillId="0" borderId="0"/>
    <xf numFmtId="0" fontId="18" fillId="0" borderId="0"/>
    <xf numFmtId="0" fontId="15" fillId="0" borderId="0"/>
    <xf numFmtId="0" fontId="15" fillId="0" borderId="0"/>
    <xf numFmtId="0" fontId="15" fillId="0" borderId="0"/>
    <xf numFmtId="0" fontId="18" fillId="0" borderId="0"/>
    <xf numFmtId="0" fontId="19" fillId="0" borderId="0"/>
    <xf numFmtId="0" fontId="20" fillId="0" borderId="0"/>
    <xf numFmtId="0" fontId="20" fillId="0" borderId="0"/>
    <xf numFmtId="0" fontId="20" fillId="0" borderId="0"/>
    <xf numFmtId="0" fontId="21" fillId="0" borderId="0"/>
    <xf numFmtId="0" fontId="22" fillId="0" borderId="0"/>
    <xf numFmtId="0" fontId="23" fillId="0" borderId="0"/>
    <xf numFmtId="0" fontId="24" fillId="0" borderId="0"/>
    <xf numFmtId="0" fontId="25" fillId="0" borderId="0"/>
    <xf numFmtId="0" fontId="18" fillId="0" borderId="0"/>
    <xf numFmtId="0" fontId="26" fillId="0" borderId="0"/>
    <xf numFmtId="0" fontId="15" fillId="0" borderId="0"/>
    <xf numFmtId="0" fontId="27" fillId="0" borderId="0"/>
    <xf numFmtId="0" fontId="28" fillId="0" borderId="0"/>
    <xf numFmtId="0" fontId="29" fillId="0" borderId="0"/>
    <xf numFmtId="0" fontId="30" fillId="0" borderId="0"/>
    <xf numFmtId="0" fontId="31" fillId="0" borderId="0"/>
    <xf numFmtId="0" fontId="32" fillId="0" borderId="0"/>
    <xf numFmtId="0" fontId="15" fillId="0" borderId="0"/>
    <xf numFmtId="0" fontId="15" fillId="0" borderId="0"/>
    <xf numFmtId="0" fontId="15" fillId="0" borderId="0"/>
    <xf numFmtId="0" fontId="15" fillId="0" borderId="0"/>
    <xf numFmtId="0" fontId="33" fillId="0" borderId="0"/>
  </cellStyleXfs>
  <cellXfs count="91">
    <xf numFmtId="0" fontId="0" fillId="0" borderId="0" pivotButton="0" quotePrefix="0" xfId="0"/>
    <xf numFmtId="0" fontId="1" fillId="0" borderId="0" pivotButton="0" quotePrefix="0" xfId="0"/>
    <xf numFmtId="0" fontId="2" fillId="0" borderId="0" pivotButton="0" quotePrefix="0" xfId="0"/>
    <xf numFmtId="0" fontId="5" fillId="0" borderId="0" pivotButton="0" quotePrefix="0" xfId="0"/>
    <xf numFmtId="0" fontId="6" fillId="0" borderId="0" applyAlignment="1" pivotButton="0" quotePrefix="0" xfId="0">
      <alignment horizontal="left"/>
    </xf>
    <xf numFmtId="0" fontId="3" fillId="0" borderId="0" applyAlignment="1" pivotButton="0" quotePrefix="0" xfId="0">
      <alignment horizontal="left" wrapText="1"/>
    </xf>
    <xf numFmtId="0" fontId="3" fillId="0" borderId="0" applyAlignment="1" pivotButton="0" quotePrefix="0" xfId="0">
      <alignment wrapText="1"/>
    </xf>
    <xf numFmtId="0" fontId="4" fillId="0" borderId="0" applyAlignment="1" pivotButton="0" quotePrefix="0" xfId="0">
      <alignment horizontal="right"/>
    </xf>
    <xf numFmtId="164" fontId="1" fillId="0" borderId="0" pivotButton="0" quotePrefix="0" xfId="0"/>
    <xf numFmtId="0" fontId="4" fillId="0" borderId="0" applyAlignment="1" pivotButton="0" quotePrefix="0" xfId="0">
      <alignment horizontal="left"/>
    </xf>
    <xf numFmtId="0" fontId="1" fillId="0" borderId="0" applyAlignment="1" pivotButton="0" quotePrefix="0" xfId="0">
      <alignment wrapText="1"/>
    </xf>
    <xf numFmtId="14" fontId="1" fillId="0" borderId="0" pivotButton="0" quotePrefix="0" xfId="0"/>
    <xf numFmtId="164" fontId="4" fillId="0" borderId="0" pivotButton="0" quotePrefix="0" xfId="0"/>
    <xf numFmtId="164" fontId="4" fillId="0" borderId="0" applyAlignment="1" pivotButton="0" quotePrefix="0" xfId="0">
      <alignment horizontal="center"/>
    </xf>
    <xf numFmtId="43" fontId="1" fillId="0" borderId="0" pivotButton="0" quotePrefix="0" xfId="0"/>
    <xf numFmtId="43" fontId="1" fillId="0" borderId="2" pivotButton="0" quotePrefix="0" xfId="0"/>
    <xf numFmtId="0" fontId="2" fillId="0" borderId="0" applyAlignment="1" pivotButton="0" quotePrefix="0" xfId="0">
      <alignment horizontal="center" wrapText="1"/>
    </xf>
    <xf numFmtId="164" fontId="2" fillId="0" borderId="0" applyAlignment="1" pivotButton="0" quotePrefix="0" xfId="0">
      <alignment horizontal="center" wrapText="1"/>
    </xf>
    <xf numFmtId="0" fontId="7" fillId="0" borderId="0" applyAlignment="1" pivotButton="0" quotePrefix="0" xfId="0">
      <alignment horizontal="left" vertical="center" readingOrder="1"/>
    </xf>
    <xf numFmtId="165" fontId="1" fillId="0" borderId="0" pivotButton="0" quotePrefix="0" xfId="0"/>
    <xf numFmtId="0" fontId="10" fillId="0" borderId="5" applyAlignment="1" pivotButton="0" quotePrefix="0" xfId="0">
      <alignment horizontal="left"/>
    </xf>
    <xf numFmtId="3" fontId="0" fillId="0" borderId="5" pivotButton="0" quotePrefix="0" xfId="0"/>
    <xf numFmtId="165" fontId="11" fillId="0" borderId="5" pivotButton="0" quotePrefix="0" xfId="1"/>
    <xf numFmtId="3" fontId="12" fillId="0" borderId="5" applyAlignment="1" pivotButton="0" quotePrefix="0" xfId="0">
      <alignment horizontal="right"/>
    </xf>
    <xf numFmtId="0" fontId="5" fillId="0" borderId="0" applyAlignment="1" pivotButton="0" quotePrefix="0" xfId="0">
      <alignment horizontal="left"/>
    </xf>
    <xf numFmtId="3" fontId="13" fillId="0" borderId="0" pivotButton="0" quotePrefix="0" xfId="0"/>
    <xf numFmtId="0" fontId="5" fillId="0" borderId="0" applyAlignment="1" pivotButton="0" quotePrefix="0" xfId="0">
      <alignment horizontal="right"/>
    </xf>
    <xf numFmtId="3" fontId="13" fillId="0" borderId="5" pivotButton="0" quotePrefix="0" xfId="0"/>
    <xf numFmtId="3" fontId="13" fillId="0" borderId="5" pivotButton="0" quotePrefix="1" xfId="0"/>
    <xf numFmtId="0" fontId="5" fillId="0" borderId="0" applyAlignment="1" pivotButton="0" quotePrefix="0" xfId="0">
      <alignment horizontal="left" vertical="top"/>
    </xf>
    <xf numFmtId="0" fontId="5" fillId="0" borderId="0" applyAlignment="1" pivotButton="0" quotePrefix="0" xfId="0">
      <alignment vertical="top"/>
    </xf>
    <xf numFmtId="14" fontId="5" fillId="0" borderId="0" applyAlignment="1" pivotButton="0" quotePrefix="0" xfId="0">
      <alignment vertical="top"/>
    </xf>
    <xf numFmtId="0" fontId="5" fillId="0" borderId="0" applyAlignment="1" pivotButton="0" quotePrefix="0" xfId="0">
      <alignment horizontal="right" vertical="top"/>
    </xf>
    <xf numFmtId="166" fontId="13" fillId="0" borderId="5" applyAlignment="1" pivotButton="0" quotePrefix="1" xfId="0">
      <alignment horizontal="left"/>
    </xf>
    <xf numFmtId="14" fontId="13" fillId="3" borderId="5" applyAlignment="1" pivotButton="0" quotePrefix="1" xfId="0">
      <alignment horizontal="left"/>
    </xf>
    <xf numFmtId="0" fontId="13" fillId="3" borderId="5" applyAlignment="1" pivotButton="0" quotePrefix="0" xfId="0">
      <alignment horizontal="left" vertical="top"/>
    </xf>
    <xf numFmtId="0" fontId="13" fillId="0" borderId="5" applyAlignment="1" pivotButton="0" quotePrefix="0" xfId="0">
      <alignment horizontal="left"/>
    </xf>
    <xf numFmtId="3" fontId="13" fillId="0" borderId="5" applyAlignment="1" pivotButton="0" quotePrefix="1" xfId="0">
      <alignment horizontal="right"/>
    </xf>
    <xf numFmtId="3" fontId="14" fillId="0" borderId="5" applyAlignment="1" pivotButton="0" quotePrefix="0" xfId="0">
      <alignment horizontal="right"/>
    </xf>
    <xf numFmtId="164" fontId="0" fillId="0" borderId="9" pivotButton="0" quotePrefix="0" xfId="2"/>
    <xf numFmtId="164" fontId="0" fillId="0" borderId="10" pivotButton="0" quotePrefix="0" xfId="2"/>
    <xf numFmtId="0" fontId="0" fillId="0" borderId="1" pivotButton="0" quotePrefix="0" xfId="0"/>
    <xf numFmtId="0" fontId="9" fillId="0" borderId="3" pivotButton="0" quotePrefix="0" xfId="0"/>
    <xf numFmtId="0" fontId="0" fillId="0" borderId="9" pivotButton="0" quotePrefix="0" xfId="0"/>
    <xf numFmtId="0" fontId="0" fillId="0" borderId="10" pivotButton="0" quotePrefix="0" xfId="0"/>
    <xf numFmtId="0" fontId="0" fillId="0" borderId="6" pivotButton="0" quotePrefix="0" xfId="0"/>
    <xf numFmtId="0" fontId="0" fillId="2" borderId="12" pivotButton="0" quotePrefix="0" xfId="0"/>
    <xf numFmtId="0" fontId="0" fillId="2" borderId="0" pivotButton="0" quotePrefix="0" xfId="0"/>
    <xf numFmtId="0" fontId="0" fillId="2" borderId="7" pivotButton="0" quotePrefix="0" xfId="0"/>
    <xf numFmtId="0" fontId="0" fillId="2" borderId="13" pivotButton="0" quotePrefix="0" xfId="0"/>
    <xf numFmtId="0" fontId="0" fillId="2" borderId="6" pivotButton="0" quotePrefix="0" xfId="0"/>
    <xf numFmtId="0" fontId="0" fillId="2" borderId="11" pivotButton="0" quotePrefix="0" xfId="0"/>
    <xf numFmtId="0" fontId="9" fillId="0" borderId="1" pivotButton="0" quotePrefix="0" xfId="0"/>
    <xf numFmtId="0" fontId="9" fillId="0" borderId="8" pivotButton="0" quotePrefix="0" xfId="0"/>
    <xf numFmtId="0" fontId="9" fillId="0" borderId="4" pivotButton="0" quotePrefix="0" xfId="0"/>
    <xf numFmtId="0" fontId="0" fillId="3" borderId="0" pivotButton="0" quotePrefix="0" xfId="0"/>
    <xf numFmtId="14" fontId="0" fillId="0" borderId="0" pivotButton="0" quotePrefix="0" xfId="0"/>
    <xf numFmtId="167" fontId="0" fillId="0" borderId="0" pivotButton="0" quotePrefix="0" xfId="0"/>
    <xf numFmtId="167" fontId="0" fillId="0" borderId="6" pivotButton="0" quotePrefix="0" xfId="0"/>
    <xf numFmtId="14" fontId="0" fillId="0" borderId="6" pivotButton="0" quotePrefix="0" xfId="0"/>
    <xf numFmtId="0" fontId="1" fillId="2" borderId="3" applyAlignment="1" pivotButton="0" quotePrefix="0" xfId="0">
      <alignment horizontal="left"/>
    </xf>
    <xf numFmtId="0" fontId="1" fillId="2" borderId="4" applyAlignment="1" pivotButton="0" quotePrefix="0" xfId="0">
      <alignment horizontal="left"/>
    </xf>
    <xf numFmtId="14" fontId="1" fillId="2" borderId="3" applyAlignment="1" pivotButton="0" quotePrefix="0" xfId="0">
      <alignment horizontal="left"/>
    </xf>
    <xf numFmtId="0" fontId="1" fillId="2" borderId="1" applyAlignment="1" pivotButton="0" quotePrefix="0" xfId="0">
      <alignment horizontal="left"/>
    </xf>
    <xf numFmtId="0" fontId="9" fillId="0" borderId="3" applyAlignment="1" pivotButton="0" quotePrefix="0" xfId="0">
      <alignment horizontal="center"/>
    </xf>
    <xf numFmtId="0" fontId="9" fillId="0" borderId="8" applyAlignment="1" pivotButton="0" quotePrefix="0" xfId="0">
      <alignment horizontal="center"/>
    </xf>
    <xf numFmtId="0" fontId="9" fillId="0" borderId="4" applyAlignment="1" pivotButton="0" quotePrefix="0" xfId="0">
      <alignment horizontal="center"/>
    </xf>
    <xf numFmtId="0" fontId="0" fillId="0" borderId="0" pivotButton="0" quotePrefix="0" xfId="0"/>
    <xf numFmtId="0" fontId="0" fillId="0" borderId="4" pivotButton="0" quotePrefix="0" xfId="0"/>
    <xf numFmtId="14" fontId="1" fillId="2" borderId="1" applyAlignment="1" pivotButton="0" quotePrefix="0" xfId="0">
      <alignment horizontal="left"/>
    </xf>
    <xf numFmtId="164" fontId="2" fillId="0" borderId="0" applyAlignment="1" pivotButton="0" quotePrefix="0" xfId="0">
      <alignment horizontal="center" wrapText="1"/>
    </xf>
    <xf numFmtId="164" fontId="4" fillId="0" borderId="0" pivotButton="0" quotePrefix="0" xfId="0"/>
    <xf numFmtId="165" fontId="1" fillId="0" borderId="0" pivotButton="0" quotePrefix="0" xfId="0"/>
    <xf numFmtId="164" fontId="1" fillId="0" borderId="0" pivotButton="0" quotePrefix="0" xfId="0"/>
    <xf numFmtId="164" fontId="4" fillId="0" borderId="0" applyAlignment="1" pivotButton="0" quotePrefix="0" xfId="0">
      <alignment horizontal="center"/>
    </xf>
    <xf numFmtId="165" fontId="11" fillId="0" borderId="5" pivotButton="0" quotePrefix="0" xfId="1"/>
    <xf numFmtId="166" fontId="13" fillId="0" borderId="5" applyAlignment="1" pivotButton="0" quotePrefix="1" xfId="0">
      <alignment horizontal="left"/>
    </xf>
    <xf numFmtId="0" fontId="9" fillId="0" borderId="1" applyAlignment="1" pivotButton="0" quotePrefix="0" xfId="0">
      <alignment horizontal="center"/>
    </xf>
    <xf numFmtId="0" fontId="0" fillId="0" borderId="8" pivotButton="0" quotePrefix="0" xfId="0"/>
    <xf numFmtId="167" fontId="0" fillId="0" borderId="0" pivotButton="0" quotePrefix="0" xfId="0"/>
    <xf numFmtId="0" fontId="0" fillId="4" borderId="12" pivotButton="0" quotePrefix="0" xfId="0"/>
    <xf numFmtId="0" fontId="0" fillId="4" borderId="0" pivotButton="0" quotePrefix="0" xfId="0"/>
    <xf numFmtId="0" fontId="0" fillId="4" borderId="7" pivotButton="0" quotePrefix="0" xfId="0"/>
    <xf numFmtId="164" fontId="0" fillId="4" borderId="9" pivotButton="0" quotePrefix="0" xfId="2"/>
    <xf numFmtId="167" fontId="0" fillId="0" borderId="6" pivotButton="0" quotePrefix="0" xfId="0"/>
    <xf numFmtId="0" fontId="0" fillId="4" borderId="13" pivotButton="0" quotePrefix="0" xfId="0"/>
    <xf numFmtId="0" fontId="0" fillId="4" borderId="6" pivotButton="0" quotePrefix="0" xfId="0"/>
    <xf numFmtId="0" fontId="0" fillId="4" borderId="11" pivotButton="0" quotePrefix="0" xfId="0"/>
    <xf numFmtId="164" fontId="0" fillId="4" borderId="10" pivotButton="0" quotePrefix="0" xfId="2"/>
    <xf numFmtId="0" fontId="34" fillId="3" borderId="0" applyAlignment="1" pivotButton="0" quotePrefix="0" xfId="0">
      <alignment wrapText="1"/>
    </xf>
    <xf numFmtId="0" fontId="35" fillId="0" borderId="0" applyAlignment="1" pivotButton="0" quotePrefix="0" xfId="0">
      <alignment wrapText="1"/>
    </xf>
  </cellXfs>
  <cellStyles count="35">
    <cellStyle name="Normal" xfId="0" builtinId="0"/>
    <cellStyle name="Comma" xfId="1" builtinId="3"/>
    <cellStyle name="Currency" xfId="2" builtinId="4"/>
    <cellStyle name="rf0" xfId="3"/>
    <cellStyle name="rf1" xfId="4"/>
    <cellStyle name="rf2" xfId="5"/>
    <cellStyle name="rf3" xfId="6"/>
    <cellStyle name="rf4" xfId="7"/>
    <cellStyle name="rf5" xfId="8"/>
    <cellStyle name="rf6" xfId="9"/>
    <cellStyle name="rf7" xfId="10"/>
    <cellStyle name="rf8" xfId="11"/>
    <cellStyle name="rf9" xfId="12"/>
    <cellStyle name="rf10" xfId="13"/>
    <cellStyle name="rf11" xfId="14"/>
    <cellStyle name="rf12" xfId="15"/>
    <cellStyle name="rf13" xfId="16"/>
    <cellStyle name="rf14" xfId="17"/>
    <cellStyle name="rf15" xfId="18"/>
    <cellStyle name="rf16" xfId="19"/>
    <cellStyle name="rf17" xfId="20"/>
    <cellStyle name="rf18" xfId="21"/>
    <cellStyle name="rf19" xfId="22"/>
    <cellStyle name="rf20" xfId="23"/>
    <cellStyle name="rf21" xfId="24"/>
    <cellStyle name="rf22" xfId="25"/>
    <cellStyle name="rf23" xfId="26"/>
    <cellStyle name="rf24" xfId="27"/>
    <cellStyle name="rf25" xfId="28"/>
    <cellStyle name="rf26" xfId="29"/>
    <cellStyle name="rf27" xfId="30"/>
    <cellStyle name="rf28" xfId="31"/>
    <cellStyle name="rf29" xfId="32"/>
    <cellStyle name="rf30" xfId="33"/>
    <cellStyle name="rf31" xfId="34"/>
  </cellStyle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zoomScale="130" zoomScaleNormal="130" workbookViewId="0">
      <selection activeCell="C25" sqref="C25"/>
    </sheetView>
  </sheetViews>
  <sheetFormatPr baseColWidth="8" defaultColWidth="9.140625" defaultRowHeight="14.25"/>
  <cols>
    <col width="23.7109375" customWidth="1" style="1" min="1" max="1"/>
    <col width="18.5703125" customWidth="1" style="1" min="2" max="2"/>
    <col width="15.140625" customWidth="1" style="1" min="3" max="3"/>
    <col width="13.7109375" customWidth="1" style="1" min="4" max="4"/>
    <col width="6.42578125" customWidth="1" style="1" min="5" max="5"/>
    <col width="12.5703125" customWidth="1" style="1" min="6" max="6"/>
    <col width="13.42578125" customWidth="1" style="1" min="7" max="7"/>
    <col width="13.140625" bestFit="1" customWidth="1" style="1" min="8" max="8"/>
    <col width="3.140625" customWidth="1" style="1" min="9" max="9"/>
    <col width="11.85546875" bestFit="1" customWidth="1" style="1" min="10" max="10"/>
    <col width="12.140625" customWidth="1" style="1" min="11" max="12"/>
    <col width="11.5703125" bestFit="1" customWidth="1" style="1" min="13" max="13"/>
    <col width="10.42578125" bestFit="1" customWidth="1" style="1" min="14" max="14"/>
    <col width="9.140625" customWidth="1" style="1" min="15" max="16384"/>
  </cols>
  <sheetData>
    <row r="1" ht="15" customHeight="1" s="67">
      <c r="A1" s="2" t="inlineStr">
        <is>
          <t>Client Name</t>
        </is>
      </c>
      <c r="B1" s="63" t="n"/>
      <c r="C1" s="68" t="n"/>
      <c r="D1" s="2" t="n"/>
      <c r="E1" s="2" t="inlineStr">
        <is>
          <t>Working Paper #</t>
        </is>
      </c>
      <c r="G1" s="63" t="n"/>
      <c r="H1" s="68" t="n"/>
    </row>
    <row r="2" ht="15" customHeight="1" s="67">
      <c r="A2" s="2" t="inlineStr">
        <is>
          <t>Working Paper Title</t>
        </is>
      </c>
      <c r="B2" s="63" t="n"/>
      <c r="C2" s="68" t="n"/>
      <c r="D2" s="2" t="n"/>
      <c r="E2" s="2" t="inlineStr">
        <is>
          <t>Preparer</t>
        </is>
      </c>
      <c r="G2" s="63" t="n"/>
      <c r="H2" s="68" t="n"/>
    </row>
    <row r="3" ht="15" customHeight="1" s="67">
      <c r="A3" s="2" t="inlineStr">
        <is>
          <t>Prepared By Client?</t>
        </is>
      </c>
      <c r="B3" s="63" t="n"/>
      <c r="C3" s="68" t="n"/>
      <c r="D3" s="2" t="n"/>
      <c r="E3" s="2" t="inlineStr">
        <is>
          <t>Date Completed</t>
        </is>
      </c>
      <c r="G3" s="69" t="n"/>
      <c r="H3" s="68" t="n"/>
    </row>
    <row r="4" ht="15" customHeight="1" s="67">
      <c r="D4" s="2" t="n"/>
      <c r="E4" s="2" t="inlineStr">
        <is>
          <t>Reviewer</t>
        </is>
      </c>
      <c r="G4" s="63" t="n"/>
      <c r="H4" s="68" t="n"/>
    </row>
    <row r="5" ht="15" customHeight="1" s="67">
      <c r="D5" s="2" t="n"/>
      <c r="E5" s="2" t="inlineStr">
        <is>
          <t>Date Reviewed</t>
        </is>
      </c>
      <c r="G5" s="69" t="n"/>
      <c r="H5" s="68" t="n"/>
    </row>
    <row r="6" ht="15" customHeight="1" s="67">
      <c r="D6" s="2" t="n"/>
    </row>
    <row r="7" ht="15" customHeight="1" s="67">
      <c r="A7" s="3" t="inlineStr">
        <is>
          <t>Objective</t>
        </is>
      </c>
    </row>
    <row r="8">
      <c r="A8" s="6" t="n"/>
      <c r="B8" s="6" t="n"/>
      <c r="C8" s="6" t="n"/>
      <c r="D8" s="6" t="n"/>
      <c r="E8" s="6" t="n"/>
    </row>
    <row r="9">
      <c r="A9" s="6" t="n"/>
      <c r="B9" s="6" t="n"/>
      <c r="C9" s="6" t="n"/>
      <c r="D9" s="6" t="n"/>
      <c r="E9" s="6" t="n"/>
    </row>
    <row r="10">
      <c r="B10" s="5" t="n"/>
      <c r="C10" s="5" t="n"/>
      <c r="D10" s="5" t="n"/>
      <c r="E10" s="5" t="n"/>
    </row>
    <row r="11" ht="15" customHeight="1" s="67">
      <c r="A11" s="2" t="inlineStr">
        <is>
          <t>Results of Procedures and Evidence Obtained</t>
        </is>
      </c>
    </row>
    <row r="12" ht="15" customHeight="1" s="67">
      <c r="A12" s="2" t="n"/>
    </row>
    <row r="13" ht="45" customHeight="1" s="67">
      <c r="A13" s="16" t="inlineStr">
        <is>
          <t>Invoice Number</t>
        </is>
      </c>
      <c r="B13" s="16" t="inlineStr">
        <is>
          <t>Customer Name</t>
        </is>
      </c>
      <c r="C13" s="16" t="inlineStr">
        <is>
          <t>Invoice Date</t>
        </is>
      </c>
      <c r="D13" s="70" t="inlineStr">
        <is>
          <t>Invoice Amount</t>
        </is>
      </c>
      <c r="E13" s="70" t="n"/>
      <c r="F13" s="70" t="inlineStr">
        <is>
          <t>Check Payment Number</t>
        </is>
      </c>
      <c r="G13" s="70" t="inlineStr">
        <is>
          <t>Check Payment Date</t>
        </is>
      </c>
      <c r="H13" s="70" t="inlineStr">
        <is>
          <t>Check Payment Amount</t>
        </is>
      </c>
      <c r="I13" s="10" t="n"/>
    </row>
    <row r="14" ht="15" customHeight="1" s="67">
      <c r="C14" s="11" t="n"/>
      <c r="D14" s="14" t="n"/>
      <c r="E14" s="71" t="inlineStr">
        <is>
          <t>T, C</t>
        </is>
      </c>
      <c r="F14" s="72" t="n"/>
      <c r="G14" s="11" t="n"/>
      <c r="H14" s="14" t="n"/>
      <c r="I14" s="9" t="inlineStr">
        <is>
          <t xml:space="preserve">Ç </t>
        </is>
      </c>
    </row>
    <row r="15" ht="15" customHeight="1" s="67">
      <c r="C15" s="11" t="n"/>
      <c r="D15" s="14" t="n"/>
      <c r="E15" s="71" t="inlineStr">
        <is>
          <t>T, C</t>
        </is>
      </c>
      <c r="G15" s="11" t="n"/>
      <c r="H15" s="14" t="n"/>
      <c r="I15" s="9" t="inlineStr">
        <is>
          <t xml:space="preserve">Ç </t>
        </is>
      </c>
    </row>
    <row r="16" ht="15" customHeight="1" s="67">
      <c r="C16" s="11" t="n"/>
      <c r="D16" s="14" t="n"/>
      <c r="E16" s="71" t="inlineStr">
        <is>
          <t>T, C</t>
        </is>
      </c>
      <c r="G16" s="11" t="n"/>
      <c r="H16" s="14" t="n"/>
      <c r="I16" s="9" t="inlineStr">
        <is>
          <t xml:space="preserve">Ç </t>
        </is>
      </c>
    </row>
    <row r="17" ht="15" customHeight="1" s="67" thickBot="1">
      <c r="D17" s="15">
        <f>SUM(D14:D16)</f>
        <v/>
      </c>
      <c r="E17" s="73" t="n"/>
      <c r="F17" s="73" t="n"/>
      <c r="G17" s="73" t="n"/>
      <c r="H17" s="15">
        <f>SUM(H14:H16)</f>
        <v/>
      </c>
    </row>
    <row r="18" ht="15.75" customHeight="1" s="67" thickTop="1">
      <c r="D18" s="74" t="inlineStr">
        <is>
          <t>F, TB</t>
        </is>
      </c>
      <c r="E18" s="73" t="n"/>
      <c r="F18" s="73" t="n"/>
      <c r="G18" s="73" t="n"/>
      <c r="H18" s="74" t="n"/>
    </row>
    <row r="19" ht="15" customHeight="1" s="67">
      <c r="A19" s="2" t="n"/>
    </row>
    <row r="20">
      <c r="A20" s="4" t="inlineStr">
        <is>
          <t>Tickmark Legend</t>
        </is>
      </c>
    </row>
    <row r="21" ht="15" customHeight="1" s="67">
      <c r="A21" s="7" t="inlineStr">
        <is>
          <t>T</t>
        </is>
      </c>
      <c r="B21" s="1" t="inlineStr">
        <is>
          <t>Traced invoice amount, date, and customer information to backup documents</t>
        </is>
      </c>
    </row>
    <row r="22" ht="15" customHeight="1" s="67">
      <c r="A22" s="7" t="inlineStr">
        <is>
          <t>C</t>
        </is>
      </c>
      <c r="B22" s="1" t="inlineStr">
        <is>
          <t>Revenue earned &amp; recognized accurately in proper period</t>
        </is>
      </c>
    </row>
    <row r="23" ht="15" customHeight="1" s="67">
      <c r="A23" s="7" t="inlineStr">
        <is>
          <t xml:space="preserve">Ç </t>
        </is>
      </c>
      <c r="B23" s="1" t="inlineStr">
        <is>
          <t>Traced check payment amount and date to bank statements and check copy</t>
        </is>
      </c>
    </row>
    <row r="24" ht="15" customHeight="1" s="67">
      <c r="A24" s="7" t="inlineStr">
        <is>
          <t>F</t>
        </is>
      </c>
      <c r="B24" s="1" t="inlineStr">
        <is>
          <t>Footed</t>
        </is>
      </c>
    </row>
    <row r="25" ht="15" customHeight="1" s="67">
      <c r="A25" s="7" t="inlineStr">
        <is>
          <t>TB</t>
        </is>
      </c>
      <c r="B25" s="1" t="inlineStr">
        <is>
          <t>Agreed to trial balance</t>
        </is>
      </c>
    </row>
    <row r="27" ht="15" customHeight="1" s="67">
      <c r="A27" s="2" t="inlineStr">
        <is>
          <t>Conclusion</t>
        </is>
      </c>
    </row>
    <row r="28" ht="14.25" customHeight="1" s="67"/>
    <row r="32">
      <c r="A32" s="18" t="n"/>
    </row>
  </sheetData>
  <mergeCells count="8">
    <mergeCell ref="G4:H4"/>
    <mergeCell ref="B2:C2"/>
    <mergeCell ref="G2:H2"/>
    <mergeCell ref="B3:C3"/>
    <mergeCell ref="G1:H1"/>
    <mergeCell ref="G5:H5"/>
    <mergeCell ref="B1:C1"/>
    <mergeCell ref="G3:H3"/>
  </mergeCells>
  <pageMargins left="0.7" right="0.7" top="0.75" bottom="0.75" header="0.3" footer="0.3"/>
  <pageSetup orientation="landscape"/>
</worksheet>
</file>

<file path=xl/worksheets/sheet2.xml><?xml version="1.0" encoding="utf-8"?>
<worksheet xmlns="http://schemas.openxmlformats.org/spreadsheetml/2006/main">
  <sheetPr>
    <outlinePr summaryBelow="1" summaryRight="1"/>
    <pageSetUpPr/>
  </sheetPr>
  <dimension ref="A1:J27"/>
  <sheetViews>
    <sheetView tabSelected="1" workbookViewId="0">
      <selection activeCell="D24" sqref="D24"/>
    </sheetView>
  </sheetViews>
  <sheetFormatPr baseColWidth="8" defaultRowHeight="15"/>
  <cols>
    <col width="28" customWidth="1" style="67" min="1" max="2"/>
    <col width="35.85546875" bestFit="1" customWidth="1" style="67" min="3" max="3"/>
    <col width="30.42578125" bestFit="1" customWidth="1" style="67" min="4" max="4"/>
    <col width="28" customWidth="1" style="67" min="5" max="10"/>
  </cols>
  <sheetData>
    <row r="1" ht="43.5" customHeight="1" s="67" thickBot="1">
      <c r="A1" s="20" t="inlineStr">
        <is>
          <t>KPMG</t>
        </is>
      </c>
      <c r="B1" s="21" t="n"/>
      <c r="C1" s="21" t="n"/>
      <c r="D1" s="21" t="n"/>
      <c r="E1" s="75" t="n"/>
      <c r="F1" s="75" t="n"/>
      <c r="G1" s="75" t="n"/>
      <c r="H1" s="23" t="inlineStr">
        <is>
          <t>Revenue Leadsheet</t>
        </is>
      </c>
    </row>
    <row r="2">
      <c r="A2" s="24" t="inlineStr">
        <is>
          <t>Client</t>
        </is>
      </c>
      <c r="B2" s="25" t="n"/>
      <c r="C2" s="25" t="n"/>
      <c r="D2" s="25" t="n"/>
      <c r="E2" s="3" t="n"/>
      <c r="F2" s="3" t="n"/>
      <c r="G2" s="3" t="n"/>
      <c r="H2" s="26" t="inlineStr">
        <is>
          <t>Period End</t>
        </is>
      </c>
    </row>
    <row r="3" ht="15.75" customHeight="1" s="67" thickBot="1">
      <c r="A3" s="36" t="inlineStr">
        <is>
          <t>Evergreen Inc.</t>
        </is>
      </c>
      <c r="B3" s="27" t="n"/>
      <c r="C3" s="27" t="n"/>
      <c r="D3" s="27" t="n"/>
      <c r="E3" s="28" t="n"/>
      <c r="F3" s="28" t="n"/>
      <c r="G3" s="28" t="n"/>
      <c r="H3" s="37" t="inlineStr">
        <is>
          <t>12/31/202X</t>
        </is>
      </c>
    </row>
    <row r="4">
      <c r="A4" s="29" t="inlineStr">
        <is>
          <t>Prepared by</t>
        </is>
      </c>
      <c r="B4" s="30" t="n"/>
      <c r="C4" s="30" t="n"/>
      <c r="D4" s="31" t="inlineStr">
        <is>
          <t>03/19/2026</t>
        </is>
      </c>
      <c r="E4" s="30" t="n"/>
      <c r="F4" s="30" t="n"/>
      <c r="G4" s="30" t="n"/>
      <c r="H4" s="32" t="inlineStr">
        <is>
          <t>W/P reference</t>
        </is>
      </c>
    </row>
    <row r="5" ht="15.75" customHeight="1" s="67" thickBot="1">
      <c r="A5" s="35" t="n"/>
      <c r="B5" s="76" t="n"/>
      <c r="C5" s="76" t="n"/>
      <c r="D5" s="34" t="n"/>
      <c r="E5" s="27" t="n"/>
      <c r="F5" s="27" t="n"/>
      <c r="G5" s="27" t="n"/>
      <c r="H5" s="38" t="inlineStr">
        <is>
          <t>R2</t>
        </is>
      </c>
    </row>
    <row r="7">
      <c r="A7" s="2" t="inlineStr">
        <is>
          <t>Purpose: To tested the existence and accuracy of revenue as of 12/31/202X</t>
        </is>
      </c>
      <c r="B7" s="2" t="n"/>
    </row>
    <row r="9">
      <c r="A9" s="2" t="inlineStr">
        <is>
          <t xml:space="preserve">Procedures: </t>
        </is>
      </c>
      <c r="B9" s="2" t="n"/>
    </row>
    <row r="10">
      <c r="A10" t="inlineStr">
        <is>
          <t>1) KPMG obtained the revenue subledger from Evergreen and confirmed the subledger total agreed to the GL accounts.</t>
        </is>
      </c>
    </row>
    <row r="11">
      <c r="A11" t="inlineStr">
        <is>
          <t>2) Using a sampling tool, KPMG notes a total of 5 samples were selected.</t>
        </is>
      </c>
    </row>
    <row r="12">
      <c r="A12" t="inlineStr">
        <is>
          <t>3) For each sample, KPMG vouched to the supporting documentation.</t>
        </is>
      </c>
    </row>
    <row r="13">
      <c r="A13" t="inlineStr">
        <is>
          <t>4) KPMG to further investigate any differences identified.</t>
        </is>
      </c>
    </row>
    <row r="15">
      <c r="A15" s="42" t="n"/>
      <c r="B15" s="42" t="n"/>
      <c r="C15" s="77" t="inlineStr">
        <is>
          <t>Subledger Details (Pre-populated)</t>
        </is>
      </c>
      <c r="D15" s="78" t="n"/>
      <c r="E15" s="68" t="n"/>
      <c r="F15" s="77" t="inlineStr">
        <is>
          <t>Invoice Details</t>
        </is>
      </c>
      <c r="G15" s="78" t="n"/>
      <c r="H15" s="78" t="n"/>
      <c r="I15" s="68" t="n"/>
      <c r="J15" s="41" t="n"/>
    </row>
    <row r="16">
      <c r="A16" s="52" t="inlineStr">
        <is>
          <t>Sample Number</t>
        </is>
      </c>
      <c r="B16" s="53" t="inlineStr">
        <is>
          <t>Invoice Number</t>
        </is>
      </c>
      <c r="C16" s="53" t="inlineStr">
        <is>
          <t>Invoice Date</t>
        </is>
      </c>
      <c r="D16" s="53" t="inlineStr">
        <is>
          <t>Customer</t>
        </is>
      </c>
      <c r="E16" s="53" t="inlineStr">
        <is>
          <t>Amount</t>
        </is>
      </c>
      <c r="F16" s="42" t="inlineStr">
        <is>
          <t>Invoice Number</t>
        </is>
      </c>
      <c r="G16" s="53" t="inlineStr">
        <is>
          <t>Invoice Date</t>
        </is>
      </c>
      <c r="H16" s="53" t="inlineStr">
        <is>
          <t>Customer</t>
        </is>
      </c>
      <c r="I16" s="54" t="inlineStr">
        <is>
          <t>Amount</t>
        </is>
      </c>
      <c r="J16" s="52" t="inlineStr">
        <is>
          <t>Differences</t>
        </is>
      </c>
    </row>
    <row r="17">
      <c r="A17" s="43" t="n">
        <v>1</v>
      </c>
      <c r="B17" t="n">
        <v>365635</v>
      </c>
      <c r="C17" s="56" t="n">
        <v>44270</v>
      </c>
      <c r="D17" t="inlineStr">
        <is>
          <t>Use All Six LLC</t>
        </is>
      </c>
      <c r="E17" s="79" t="n">
        <v>33000</v>
      </c>
      <c r="F17" s="80" t="n">
        <v>365635</v>
      </c>
      <c r="G17" s="81" t="inlineStr">
        <is>
          <t>3/15/2021</t>
        </is>
      </c>
      <c r="H17" s="81" t="inlineStr">
        <is>
          <t>Use All Six, LLC</t>
        </is>
      </c>
      <c r="I17" s="82" t="n">
        <v>33000</v>
      </c>
      <c r="J17" s="83">
        <f>E17-I17</f>
        <v/>
      </c>
    </row>
    <row r="18">
      <c r="A18" s="43" t="n">
        <v>2</v>
      </c>
      <c r="B18" t="n">
        <v>415454</v>
      </c>
      <c r="C18" s="56" t="n">
        <v>44256</v>
      </c>
      <c r="D18" t="inlineStr">
        <is>
          <t>True U</t>
        </is>
      </c>
      <c r="E18" s="79" t="n">
        <v>72000</v>
      </c>
      <c r="F18" s="80" t="n">
        <v>415454</v>
      </c>
      <c r="G18" s="81" t="inlineStr">
        <is>
          <t>3/1/2021</t>
        </is>
      </c>
      <c r="H18" s="81" t="inlineStr">
        <is>
          <t>True U</t>
        </is>
      </c>
      <c r="I18" s="82" t="n">
        <v>72000</v>
      </c>
      <c r="J18" s="83">
        <f>E18-I18</f>
        <v/>
      </c>
    </row>
    <row r="19">
      <c r="A19" s="43" t="n">
        <v>3</v>
      </c>
      <c r="B19" t="n">
        <v>654543</v>
      </c>
      <c r="C19" s="56" t="n">
        <v>44259</v>
      </c>
      <c r="D19" t="inlineStr">
        <is>
          <t>Digital Fashion Trends</t>
        </is>
      </c>
      <c r="E19" s="79" t="n">
        <v>126000</v>
      </c>
      <c r="F19" s="80" t="n">
        <v>654543</v>
      </c>
      <c r="G19" s="81" t="inlineStr">
        <is>
          <t>3/4/2021</t>
        </is>
      </c>
      <c r="H19" s="81" t="inlineStr">
        <is>
          <t>Digital Fashion Trends</t>
        </is>
      </c>
      <c r="I19" s="82" t="n">
        <v>126000</v>
      </c>
      <c r="J19" s="83">
        <f>E19-I19</f>
        <v/>
      </c>
    </row>
    <row r="20">
      <c r="A20" s="43" t="n">
        <v>4</v>
      </c>
      <c r="B20" t="n">
        <v>787835</v>
      </c>
      <c r="C20" s="56" t="n">
        <v>44272</v>
      </c>
      <c r="D20" t="inlineStr">
        <is>
          <t>Oragami Inc.</t>
        </is>
      </c>
      <c r="E20" s="79" t="n">
        <v>112000</v>
      </c>
      <c r="F20" s="80" t="n">
        <v>787835</v>
      </c>
      <c r="G20" s="81" t="inlineStr">
        <is>
          <t>3/17/2021</t>
        </is>
      </c>
      <c r="H20" s="81" t="inlineStr">
        <is>
          <t>Oragami Inc.</t>
        </is>
      </c>
      <c r="I20" s="82" t="n">
        <v>112000</v>
      </c>
      <c r="J20" s="83">
        <f>E20-I20</f>
        <v/>
      </c>
    </row>
    <row r="21">
      <c r="A21" s="44" t="n">
        <v>5</v>
      </c>
      <c r="B21" s="45" t="n">
        <v>854244</v>
      </c>
      <c r="C21" s="59" t="n">
        <v>44267</v>
      </c>
      <c r="D21" s="45" t="inlineStr">
        <is>
          <t>Fashion Novice</t>
        </is>
      </c>
      <c r="E21" s="84" t="n">
        <v>67000</v>
      </c>
      <c r="F21" s="85" t="n">
        <v>854244</v>
      </c>
      <c r="G21" s="86" t="inlineStr">
        <is>
          <t>3/12/2021</t>
        </is>
      </c>
      <c r="H21" s="86" t="inlineStr">
        <is>
          <t>Fashion Novice</t>
        </is>
      </c>
      <c r="I21" s="87" t="n">
        <v>67000</v>
      </c>
      <c r="J21" s="88">
        <f>E21-I21</f>
        <v/>
      </c>
    </row>
    <row r="23">
      <c r="A23" s="2" t="inlineStr">
        <is>
          <t>Findings:</t>
        </is>
      </c>
      <c r="B23" s="2" t="n"/>
    </row>
    <row r="24">
      <c r="A24" s="89" t="inlineStr">
        <is>
          <t>Findings: All five invoices were vouched to supporting documentation. Invoice numbers, dates, customers, and amounts were verified and agreed 100% with the subledger data. No discrepancies were identified. Revenue transactions are supported by proper documentation and appear to be recorded at the correct amounts. All samples passed the existence and accuracy assertions.</t>
        </is>
      </c>
    </row>
    <row r="27">
      <c r="A27" s="90" t="inlineStr">
        <is>
          <t>CONCLUSION: Based on the testing performed, we are satisfied that the revenue samples selected exist, are accurately recorded, and are properly supported by documentation. The control is operating effectively and no adjustment to revenue is required.</t>
        </is>
      </c>
    </row>
  </sheetData>
  <mergeCells count="4">
    <mergeCell ref="A27:J27"/>
    <mergeCell ref="F15:I15"/>
    <mergeCell ref="A24:J24"/>
    <mergeCell ref="C15:E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Working Paper Template</dc:title>
  <dcterms:created xmlns:dcterms="http://purl.org/dc/terms/" xmlns:xsi="http://www.w3.org/2001/XMLSchema-instance" xsi:type="dcterms:W3CDTF">2006-09-16T00:00:00Z</dcterms:created>
  <dcterms:modified xmlns:dcterms="http://purl.org/dc/terms/" xmlns:xsi="http://www.w3.org/2001/XMLSchema-instance" xsi:type="dcterms:W3CDTF">2026-03-19T01:19:32Z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0x010100B01039FAD9D47B4CA91DE9B5CEF2E0C8</vt:lpwstr>
  </property>
</Properties>
</file>