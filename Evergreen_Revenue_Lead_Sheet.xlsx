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Lead Sheet" sheetId="1" state="visible" r:id="rId3"/>
    <sheet name="Year-End TB" sheetId="2" state="visible" r:id="rId4"/>
    <sheet name="Prior Year TB" sheetId="3" state="visible" r:id="rId5"/>
    <sheet name="Reconcili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<sst xmlns="http://schemas.openxmlformats.org/spreadsheetml/2006/main" count="417" uniqueCount="128">
  <si>
    <t xml:space="preserve">Evergreen Inc.</t>
  </si>
  <si>
    <t xml:space="preserve">Revenue Lead Sheet</t>
  </si>
  <si>
    <t xml:space="preserve">For the Year Ended December 31, 2024</t>
  </si>
  <si>
    <t xml:space="preserve">Colour Legend:</t>
  </si>
  <si>
    <t xml:space="preserve">■ Blue = hardcoded input</t>
  </si>
  <si>
    <t xml:space="preserve">■ Black = formula</t>
  </si>
  <si>
    <t xml:space="preserve">■ Green = cross-sheet link</t>
  </si>
  <si>
    <t xml:space="preserve">GL Account #</t>
  </si>
  <si>
    <t xml:space="preserve">Account Name</t>
  </si>
  <si>
    <t xml:space="preserve">Revenue Stream
(FS Caption)</t>
  </si>
  <si>
    <t xml:space="preserve">Current Year
2024 ($)</t>
  </si>
  <si>
    <t xml:space="preserve">Prior Year
2023 ($)</t>
  </si>
  <si>
    <t xml:space="preserve">$ Change
(CY vs PY)</t>
  </si>
  <si>
    <t xml:space="preserve">% Change
(CY vs PY)</t>
  </si>
  <si>
    <t xml:space="preserve">Domestic DTC Revenue</t>
  </si>
  <si>
    <t xml:space="preserve">Domestic Franchise Revenue</t>
  </si>
  <si>
    <t xml:space="preserve">International DTC Revenue</t>
  </si>
  <si>
    <t xml:space="preserve">International Franchise Revenue</t>
  </si>
  <si>
    <t xml:space="preserve">Investment Income</t>
  </si>
  <si>
    <t xml:space="preserve">Total Revenue</t>
  </si>
  <si>
    <t xml:space="preserve">Trial Balance Worksheet</t>
  </si>
  <si>
    <t xml:space="preserve">Year Ended December 31, 2024</t>
  </si>
  <si>
    <t xml:space="preserve">Chart of Account #</t>
  </si>
  <si>
    <t xml:space="preserve">Debit ($)</t>
  </si>
  <si>
    <t xml:space="preserve">Credit ($)</t>
  </si>
  <si>
    <t xml:space="preserve">Net ($)</t>
  </si>
  <si>
    <t xml:space="preserve">FS Caption</t>
  </si>
  <si>
    <t xml:space="preserve">TD Checking Account #9564</t>
  </si>
  <si>
    <t xml:space="preserve">N/A</t>
  </si>
  <si>
    <t xml:space="preserve">TD Savings Account #8733</t>
  </si>
  <si>
    <t xml:space="preserve">Royal Bank of Canada Checking #286</t>
  </si>
  <si>
    <t xml:space="preserve">Petty Cash</t>
  </si>
  <si>
    <t xml:space="preserve">Accounts receivable</t>
  </si>
  <si>
    <t xml:space="preserve">Reserve for bad debts</t>
  </si>
  <si>
    <t xml:space="preserve">Inventory</t>
  </si>
  <si>
    <t xml:space="preserve">Prepaid insurance</t>
  </si>
  <si>
    <t xml:space="preserve">Prepaid other expenses</t>
  </si>
  <si>
    <t xml:space="preserve">Prepaid rent</t>
  </si>
  <si>
    <t xml:space="preserve">Office supplies</t>
  </si>
  <si>
    <t xml:space="preserve">Utility deposits</t>
  </si>
  <si>
    <t xml:space="preserve">Notes receivable</t>
  </si>
  <si>
    <t xml:space="preserve">Investments</t>
  </si>
  <si>
    <t xml:space="preserve">Organization expense</t>
  </si>
  <si>
    <t xml:space="preserve">Vehicles</t>
  </si>
  <si>
    <t xml:space="preserve">Furniture and fixtures</t>
  </si>
  <si>
    <t xml:space="preserve">Equipment</t>
  </si>
  <si>
    <t xml:space="preserve">Buildings</t>
  </si>
  <si>
    <t xml:space="preserve">Land</t>
  </si>
  <si>
    <t xml:space="preserve">Accumulated depreciation - vehicles</t>
  </si>
  <si>
    <t xml:space="preserve">Accumulated depreciation - F&amp;F</t>
  </si>
  <si>
    <t xml:space="preserve">Accumulated depreciation - equipment</t>
  </si>
  <si>
    <t xml:space="preserve">Accumulated depreciation - buildings</t>
  </si>
  <si>
    <t xml:space="preserve">Goodwill</t>
  </si>
  <si>
    <t xml:space="preserve">Other intangible assets</t>
  </si>
  <si>
    <t xml:space="preserve">Accounts payable</t>
  </si>
  <si>
    <t xml:space="preserve">Sales tax payable</t>
  </si>
  <si>
    <t xml:space="preserve">Federal withholding taxes payable</t>
  </si>
  <si>
    <t xml:space="preserve">FICA taxes payable</t>
  </si>
  <si>
    <t xml:space="preserve">State withholding taxes payable</t>
  </si>
  <si>
    <t xml:space="preserve">Unemployment taxes payable</t>
  </si>
  <si>
    <t xml:space="preserve">Accrued wages</t>
  </si>
  <si>
    <t xml:space="preserve">Unearned revenue</t>
  </si>
  <si>
    <t xml:space="preserve">Accrued income taxes</t>
  </si>
  <si>
    <t xml:space="preserve">Credit card payable</t>
  </si>
  <si>
    <t xml:space="preserve">Bank loan payable</t>
  </si>
  <si>
    <t xml:space="preserve">Notes payable to third party</t>
  </si>
  <si>
    <t xml:space="preserve">Owner's equity</t>
  </si>
  <si>
    <t xml:space="preserve">Owner's drawing account</t>
  </si>
  <si>
    <t xml:space="preserve">Common stock</t>
  </si>
  <si>
    <t xml:space="preserve">Additional paid-in capital</t>
  </si>
  <si>
    <t xml:space="preserve">Preferred stock</t>
  </si>
  <si>
    <t xml:space="preserve">Retained earnings</t>
  </si>
  <si>
    <t xml:space="preserve">Domestic Direct to Consumer Sales</t>
  </si>
  <si>
    <t xml:space="preserve">AZ Franchise Sales</t>
  </si>
  <si>
    <t xml:space="preserve">CA Franchise Sales</t>
  </si>
  <si>
    <t xml:space="preserve">NYC Franchise Sales</t>
  </si>
  <si>
    <t xml:space="preserve">International Direct to Consumer Sales</t>
  </si>
  <si>
    <t xml:space="preserve">AUS Franchise Sales</t>
  </si>
  <si>
    <t xml:space="preserve">NZ Franchise Sales</t>
  </si>
  <si>
    <t xml:space="preserve">Investment income</t>
  </si>
  <si>
    <t xml:space="preserve">Purchases</t>
  </si>
  <si>
    <t xml:space="preserve">Freight</t>
  </si>
  <si>
    <t xml:space="preserve">Cost of goods sold - materials</t>
  </si>
  <si>
    <t xml:space="preserve">Cost of goods sold - direct expenses</t>
  </si>
  <si>
    <t xml:space="preserve">Advertising</t>
  </si>
  <si>
    <t xml:space="preserve">Bad debt expense</t>
  </si>
  <si>
    <t xml:space="preserve">Charitable contributions</t>
  </si>
  <si>
    <t xml:space="preserve">Contract labor</t>
  </si>
  <si>
    <t xml:space="preserve">Delivery expense</t>
  </si>
  <si>
    <t xml:space="preserve">Dues and subscriptions</t>
  </si>
  <si>
    <t xml:space="preserve">Insurance</t>
  </si>
  <si>
    <t xml:space="preserve">Maintenance</t>
  </si>
  <si>
    <t xml:space="preserve">Office expense</t>
  </si>
  <si>
    <t xml:space="preserve">Payroll taxes</t>
  </si>
  <si>
    <t xml:space="preserve">Postage</t>
  </si>
  <si>
    <t xml:space="preserve">Property taxes</t>
  </si>
  <si>
    <t xml:space="preserve">Repairs</t>
  </si>
  <si>
    <t xml:space="preserve">Travel</t>
  </si>
  <si>
    <t xml:space="preserve">Vehicle expenses</t>
  </si>
  <si>
    <t xml:space="preserve">Purchase returns and allowances</t>
  </si>
  <si>
    <t xml:space="preserve">Cost of goods sold - labor</t>
  </si>
  <si>
    <t xml:space="preserve">Cost of goods sold - indirect exp.</t>
  </si>
  <si>
    <t xml:space="preserve">Amortization</t>
  </si>
  <si>
    <t xml:space="preserve">Bank charges</t>
  </si>
  <si>
    <t xml:space="preserve">Commissions expense</t>
  </si>
  <si>
    <t xml:space="preserve">Credit card fees expense</t>
  </si>
  <si>
    <t xml:space="preserve">Depreciation</t>
  </si>
  <si>
    <t xml:space="preserve">Client Entertainment</t>
  </si>
  <si>
    <t xml:space="preserve">Interest expense</t>
  </si>
  <si>
    <t xml:space="preserve">Miscellaneous</t>
  </si>
  <si>
    <t xml:space="preserve">Operating supplies</t>
  </si>
  <si>
    <t xml:space="preserve">Permits and licenses</t>
  </si>
  <si>
    <t xml:space="preserve">Professional fees</t>
  </si>
  <si>
    <t xml:space="preserve">Rent</t>
  </si>
  <si>
    <t xml:space="preserve">Telephone</t>
  </si>
  <si>
    <t xml:space="preserve">Utilities</t>
  </si>
  <si>
    <t xml:space="preserve">Wages</t>
  </si>
  <si>
    <t xml:space="preserve">Totals</t>
  </si>
  <si>
    <t xml:space="preserve">Difference</t>
  </si>
  <si>
    <t xml:space="preserve">Year Ended December 31, 2023</t>
  </si>
  <si>
    <t xml:space="preserve">Revenue Reconciliation</t>
  </si>
  <si>
    <t xml:space="preserve">Purpose: This reconciliation uses SUMIF to tie revenue GL accounts to financial statement captions.  Ties to the Year-End Trial Balance.</t>
  </si>
  <si>
    <t xml:space="preserve">Revenue Stream (FS Caption)</t>
  </si>
  <si>
    <t xml:space="preserve">Current Year
2024 ($)
[SUMIF]</t>
  </si>
  <si>
    <t xml:space="preserve">Prior Year
2023 ($)
[SUMIF]</t>
  </si>
  <si>
    <t xml:space="preserve">$ Change</t>
  </si>
  <si>
    <t xml:space="preserve">% Change</t>
  </si>
  <si>
    <t xml:space="preserve">Tie to Lead Sheet?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</si>
</sst>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;&quot;($&quot;#,##0\);\-"/>
    <numFmt numFmtId="167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C2E"/>
        <bgColor rgb="FF2D7A3E"/>
      </patternFill>
    </fill>
    <fill>
      <patternFill patternType="solid">
        <fgColor rgb="FF2D7A3E"/>
        <bgColor rgb="FF1F5C2E"/>
      </patternFill>
    </fill>
    <fill>
      <patternFill patternType="solid">
        <fgColor rgb="FFE8F5E9"/>
        <bgColor rgb="FFF4FAF5"/>
      </patternFill>
    </fill>
    <fill>
      <patternFill patternType="solid">
        <fgColor rgb="FFF4FAF5"/>
        <bgColor rgb="FFFFFFFF"/>
      </patternFill>
    </fill>
    <fill>
      <patternFill patternType="solid">
        <fgColor rgb="FFFFFFFF"/>
        <bgColor rgb="FFF4FAF5"/>
      </patternFill>
    </fill>
    <fill>
      <patternFill patternType="solid">
        <fgColor rgb="FFD9D9D9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AF5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D7A3E"/>
      <rgbColor rgb="FF003300"/>
      <rgbColor rgb="FF333300"/>
      <rgbColor rgb="FF993300"/>
      <rgbColor rgb="FF993366"/>
      <rgbColor rgb="FF333399"/>
      <rgbColor rgb="FF1F5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3</v>
      </c>
      <c r="B5" s="6" t="s">
        <v>4</v>
      </c>
      <c r="D5" s="7" t="s">
        <v>5</v>
      </c>
      <c r="F5" s="8" t="s">
        <v>6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34.5" hidden="false" customHeight="true" outlineLevel="0" collapsed="false">
      <c r="A7" s="9" t="s">
        <v>7</v>
      </c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</row>
    <row r="8" customFormat="false" ht="15" hidden="false" customHeight="false" outlineLevel="0" collapsed="false">
      <c r="A8" s="10" t="n">
        <v>800001</v>
      </c>
      <c r="B8" s="11" t="str">
        <f aca="false">VLOOKUP(A8,'Year-End TB'!$A:$F,2,0)</f>
        <v>Domestic Direct to Consumer Sales</v>
      </c>
      <c r="C8" s="12" t="s">
        <v>14</v>
      </c>
      <c r="D8" s="13" t="n">
        <f aca="false">VLOOKUP(A8,'Year-End TB'!$A:$F,5,0)*-1</f>
        <v>23043496</v>
      </c>
      <c r="E8" s="13" t="n">
        <f aca="false">VLOOKUP(A8,'Prior Year TB'!$A:$F,5,0)*-1</f>
        <v>20580000</v>
      </c>
      <c r="F8" s="14" t="n">
        <f aca="false">D8-E8</f>
        <v>2463496</v>
      </c>
      <c r="G8" s="15" t="n">
        <f aca="false">IF(E8=0,"-",F8/ABS(E8))</f>
        <v>0.119703401360544</v>
      </c>
    </row>
    <row r="9" customFormat="false" ht="15" hidden="false" customHeight="false" outlineLevel="0" collapsed="false">
      <c r="A9" s="16" t="n">
        <v>800002</v>
      </c>
      <c r="B9" s="17" t="str">
        <f aca="false">VLOOKUP(A9,'Year-End TB'!$A:$F,2,0)</f>
        <v>AZ Franchise Sales</v>
      </c>
      <c r="C9" s="18" t="s">
        <v>15</v>
      </c>
      <c r="D9" s="19" t="n">
        <f aca="false">VLOOKUP(A9,'Year-End TB'!$A:$F,5,0)*-1</f>
        <v>2229331</v>
      </c>
      <c r="E9" s="19" t="n">
        <f aca="false">VLOOKUP(A9,'Prior Year TB'!$A:$F,5,0)*-1</f>
        <v>2050000</v>
      </c>
      <c r="F9" s="20" t="n">
        <f aca="false">D9-E9</f>
        <v>179331</v>
      </c>
      <c r="G9" s="21" t="n">
        <f aca="false">IF(E9=0,"-",F9/ABS(E9))</f>
        <v>0.0874785365853659</v>
      </c>
    </row>
    <row r="10" customFormat="false" ht="15" hidden="false" customHeight="false" outlineLevel="0" collapsed="false">
      <c r="A10" s="10" t="n">
        <v>800003</v>
      </c>
      <c r="B10" s="11" t="str">
        <f aca="false">VLOOKUP(A10,'Year-End TB'!$A:$F,2,0)</f>
        <v>CA Franchise Sales</v>
      </c>
      <c r="C10" s="12" t="s">
        <v>15</v>
      </c>
      <c r="D10" s="13" t="n">
        <f aca="false">VLOOKUP(A10,'Year-End TB'!$A:$F,5,0)*-1</f>
        <v>5573328</v>
      </c>
      <c r="E10" s="13" t="n">
        <f aca="false">VLOOKUP(A10,'Prior Year TB'!$A:$F,5,0)*-1</f>
        <v>5105000</v>
      </c>
      <c r="F10" s="14" t="n">
        <f aca="false">D10-E10</f>
        <v>468328</v>
      </c>
      <c r="G10" s="15" t="n">
        <f aca="false">IF(E10=0,"-",F10/ABS(E10))</f>
        <v>0.0917390793339863</v>
      </c>
    </row>
    <row r="11" customFormat="false" ht="15" hidden="false" customHeight="false" outlineLevel="0" collapsed="false">
      <c r="A11" s="16" t="n">
        <v>800004</v>
      </c>
      <c r="B11" s="17" t="str">
        <f aca="false">VLOOKUP(A11,'Year-End TB'!$A:$F,2,0)</f>
        <v>NYC Franchise Sales</v>
      </c>
      <c r="C11" s="18" t="s">
        <v>15</v>
      </c>
      <c r="D11" s="19" t="n">
        <f aca="false">VLOOKUP(A11,'Year-End TB'!$A:$F,5,0)*-1</f>
        <v>2340798</v>
      </c>
      <c r="E11" s="19" t="n">
        <f aca="false">VLOOKUP(A11,'Prior Year TB'!$A:$F,5,0)*-1</f>
        <v>2048000</v>
      </c>
      <c r="F11" s="20" t="n">
        <f aca="false">D11-E11</f>
        <v>292798</v>
      </c>
      <c r="G11" s="21" t="n">
        <f aca="false">IF(E11=0,"-",F11/ABS(E11))</f>
        <v>0.1429677734375</v>
      </c>
    </row>
    <row r="12" customFormat="false" ht="15" hidden="false" customHeight="false" outlineLevel="0" collapsed="false">
      <c r="A12" s="10" t="n">
        <v>800005</v>
      </c>
      <c r="B12" s="11" t="str">
        <f aca="false">VLOOKUP(A12,'Year-End TB'!$A:$F,2,0)</f>
        <v>International Direct to Consumer Sales</v>
      </c>
      <c r="C12" s="12" t="s">
        <v>16</v>
      </c>
      <c r="D12" s="13" t="n">
        <f aca="false">VLOOKUP(A12,'Year-End TB'!$A:$F,5,0)*-1</f>
        <v>1003199</v>
      </c>
      <c r="E12" s="13" t="n">
        <f aca="false">VLOOKUP(A12,'Prior Year TB'!$A:$F,5,0)*-1</f>
        <v>852000</v>
      </c>
      <c r="F12" s="14" t="n">
        <f aca="false">D12-E12</f>
        <v>151199</v>
      </c>
      <c r="G12" s="15" t="n">
        <f aca="false">IF(E12=0,"-",F12/ABS(E12))</f>
        <v>0.177463615023474</v>
      </c>
    </row>
    <row r="13" customFormat="false" ht="15" hidden="false" customHeight="false" outlineLevel="0" collapsed="false">
      <c r="A13" s="16" t="n">
        <v>800006</v>
      </c>
      <c r="B13" s="17" t="str">
        <f aca="false">VLOOKUP(A13,'Year-End TB'!$A:$F,2,0)</f>
        <v>AUS Franchise Sales</v>
      </c>
      <c r="C13" s="18" t="s">
        <v>17</v>
      </c>
      <c r="D13" s="19" t="n">
        <f aca="false">VLOOKUP(A13,'Year-End TB'!$A:$F,5,0)*-1</f>
        <v>2503381</v>
      </c>
      <c r="E13" s="19" t="n">
        <f aca="false">VLOOKUP(A13,'Prior Year TB'!$A:$F,5,0)*-1</f>
        <v>2205000</v>
      </c>
      <c r="F13" s="20" t="n">
        <f aca="false">D13-E13</f>
        <v>298381</v>
      </c>
      <c r="G13" s="21" t="n">
        <f aca="false">IF(E13=0,"-",F13/ABS(E13))</f>
        <v>0.135320181405896</v>
      </c>
    </row>
    <row r="14" customFormat="false" ht="15" hidden="false" customHeight="false" outlineLevel="0" collapsed="false">
      <c r="A14" s="10" t="n">
        <v>800007</v>
      </c>
      <c r="B14" s="11" t="str">
        <f aca="false">VLOOKUP(A14,'Year-End TB'!$A:$F,2,0)</f>
        <v>NZ Franchise Sales</v>
      </c>
      <c r="C14" s="12" t="s">
        <v>17</v>
      </c>
      <c r="D14" s="13" t="n">
        <f aca="false">VLOOKUP(A14,'Year-End TB'!$A:$F,5,0)*-1</f>
        <v>2071064</v>
      </c>
      <c r="E14" s="13" t="n">
        <f aca="false">VLOOKUP(A14,'Prior Year TB'!$A:$F,5,0)*-1</f>
        <v>1855000</v>
      </c>
      <c r="F14" s="14" t="n">
        <f aca="false">D14-E14</f>
        <v>216064</v>
      </c>
      <c r="G14" s="15" t="n">
        <f aca="false">IF(E14=0,"-",F14/ABS(E14))</f>
        <v>0.116476549865229</v>
      </c>
    </row>
    <row r="15" customFormat="false" ht="15" hidden="false" customHeight="false" outlineLevel="0" collapsed="false">
      <c r="A15" s="16" t="n">
        <v>800008</v>
      </c>
      <c r="B15" s="17" t="str">
        <f aca="false">VLOOKUP(A15,'Year-End TB'!$A:$F,2,0)</f>
        <v>Investment income</v>
      </c>
      <c r="C15" s="18" t="s">
        <v>18</v>
      </c>
      <c r="D15" s="19" t="n">
        <f aca="false">VLOOKUP(A15,'Year-End TB'!$A:$F,5,0)*-1</f>
        <v>3402096</v>
      </c>
      <c r="E15" s="19" t="n">
        <f aca="false">VLOOKUP(A15,'Prior Year TB'!$A:$F,5,0)*-1</f>
        <v>3105000</v>
      </c>
      <c r="F15" s="20" t="n">
        <f aca="false">D15-E15</f>
        <v>297096</v>
      </c>
      <c r="G15" s="21" t="n">
        <f aca="false">IF(E15=0,"-",F15/ABS(E15))</f>
        <v>0.0956830917874396</v>
      </c>
    </row>
    <row r="16" customFormat="false" ht="15" hidden="false" customHeight="true" outlineLevel="0" collapsed="false">
      <c r="A16" s="22" t="s">
        <v>19</v>
      </c>
      <c r="B16" s="22"/>
      <c r="C16" s="22"/>
      <c r="D16" s="23" t="n">
        <f aca="false">SUM(D8:D15)</f>
        <v>42166693</v>
      </c>
      <c r="E16" s="23" t="n">
        <f aca="false">SUM(E8:E15)</f>
        <v>37800000</v>
      </c>
      <c r="F16" s="23" t="n">
        <f aca="false">D16-E16</f>
        <v>4366693</v>
      </c>
      <c r="G16" s="24" t="n">
        <f aca="false">IF(E16=0,"-",F16/ABS(E16))</f>
        <v>0.115520978835979</v>
      </c>
    </row>
  </sheetData>
  <mergeCells count="6">
    <mergeCell ref="A1:G1"/>
    <mergeCell ref="A2:G2"/>
    <mergeCell ref="A3:G3"/>
    <mergeCell ref="A4:G4"/>
    <mergeCell ref="A6:G6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5" t="s">
        <v>20</v>
      </c>
      <c r="B2" s="25"/>
      <c r="C2" s="25"/>
      <c r="D2" s="25"/>
      <c r="E2" s="25"/>
      <c r="F2" s="25"/>
    </row>
    <row r="3" customFormat="false" ht="15" hidden="false" customHeight="true" outlineLevel="0" collapsed="false">
      <c r="A3" s="3" t="s">
        <v>21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9" t="s">
        <v>22</v>
      </c>
      <c r="B4" s="9" t="s">
        <v>8</v>
      </c>
      <c r="C4" s="9" t="s">
        <v>23</v>
      </c>
      <c r="D4" s="9" t="s">
        <v>24</v>
      </c>
      <c r="E4" s="9" t="s">
        <v>25</v>
      </c>
      <c r="F4" s="9" t="s">
        <v>26</v>
      </c>
    </row>
    <row r="5" customFormat="false" ht="15" hidden="false" customHeight="false" outlineLevel="0" collapsed="false">
      <c r="A5" s="26" t="n">
        <v>100001</v>
      </c>
      <c r="B5" s="27" t="s">
        <v>27</v>
      </c>
      <c r="C5" s="28" t="n">
        <v>2513545</v>
      </c>
      <c r="D5" s="28"/>
      <c r="E5" s="28" t="n">
        <v>2513545</v>
      </c>
      <c r="F5" s="29" t="s">
        <v>28</v>
      </c>
    </row>
    <row r="6" customFormat="false" ht="15" hidden="false" customHeight="false" outlineLevel="0" collapsed="false">
      <c r="A6" s="16" t="n">
        <v>100002</v>
      </c>
      <c r="B6" s="30" t="s">
        <v>29</v>
      </c>
      <c r="C6" s="20" t="n">
        <v>1765738</v>
      </c>
      <c r="D6" s="20"/>
      <c r="E6" s="20" t="n">
        <v>1765738</v>
      </c>
      <c r="F6" s="31" t="s">
        <v>28</v>
      </c>
    </row>
    <row r="7" customFormat="false" ht="15" hidden="false" customHeight="false" outlineLevel="0" collapsed="false">
      <c r="A7" s="26" t="n">
        <v>100003</v>
      </c>
      <c r="B7" s="27" t="s">
        <v>30</v>
      </c>
      <c r="C7" s="28" t="n">
        <v>3962126</v>
      </c>
      <c r="D7" s="28"/>
      <c r="E7" s="28" t="n">
        <v>3962126</v>
      </c>
      <c r="F7" s="29" t="s">
        <v>28</v>
      </c>
    </row>
    <row r="8" customFormat="false" ht="15" hidden="false" customHeight="false" outlineLevel="0" collapsed="false">
      <c r="A8" s="16" t="n">
        <v>100004</v>
      </c>
      <c r="B8" s="30" t="s">
        <v>31</v>
      </c>
      <c r="C8" s="20" t="n">
        <v>1383</v>
      </c>
      <c r="D8" s="20"/>
      <c r="E8" s="20" t="n">
        <v>1383</v>
      </c>
      <c r="F8" s="31" t="s">
        <v>28</v>
      </c>
    </row>
    <row r="9" customFormat="false" ht="15" hidden="false" customHeight="false" outlineLevel="0" collapsed="false">
      <c r="A9" s="26" t="n">
        <v>120000</v>
      </c>
      <c r="B9" s="27" t="s">
        <v>32</v>
      </c>
      <c r="C9" s="28" t="n">
        <v>4996958</v>
      </c>
      <c r="D9" s="28"/>
      <c r="E9" s="28" t="n">
        <v>4996958</v>
      </c>
      <c r="F9" s="29" t="s">
        <v>28</v>
      </c>
    </row>
    <row r="10" customFormat="false" ht="15" hidden="false" customHeight="false" outlineLevel="0" collapsed="false">
      <c r="A10" s="16" t="n">
        <v>120001</v>
      </c>
      <c r="B10" s="30" t="s">
        <v>33</v>
      </c>
      <c r="C10" s="20"/>
      <c r="D10" s="20" t="n">
        <v>5325000</v>
      </c>
      <c r="E10" s="20" t="n">
        <v>-5325000</v>
      </c>
      <c r="F10" s="31" t="s">
        <v>28</v>
      </c>
    </row>
    <row r="11" customFormat="false" ht="15" hidden="false" customHeight="false" outlineLevel="0" collapsed="false">
      <c r="A11" s="26" t="n">
        <v>130001</v>
      </c>
      <c r="B11" s="27" t="s">
        <v>34</v>
      </c>
      <c r="C11" s="28" t="n">
        <v>1335956</v>
      </c>
      <c r="D11" s="28"/>
      <c r="E11" s="28" t="n">
        <v>1335956</v>
      </c>
      <c r="F11" s="29" t="s">
        <v>28</v>
      </c>
    </row>
    <row r="12" customFormat="false" ht="15" hidden="false" customHeight="false" outlineLevel="0" collapsed="false">
      <c r="A12" s="16" t="n">
        <v>140001</v>
      </c>
      <c r="B12" s="30" t="s">
        <v>35</v>
      </c>
      <c r="C12" s="20" t="n">
        <v>22000</v>
      </c>
      <c r="D12" s="20"/>
      <c r="E12" s="20" t="n">
        <v>22000</v>
      </c>
      <c r="F12" s="31" t="s">
        <v>28</v>
      </c>
    </row>
    <row r="13" customFormat="false" ht="15" hidden="false" customHeight="false" outlineLevel="0" collapsed="false">
      <c r="A13" s="26" t="n">
        <v>140002</v>
      </c>
      <c r="B13" s="27" t="s">
        <v>36</v>
      </c>
      <c r="C13" s="28" t="n">
        <v>91540</v>
      </c>
      <c r="D13" s="28"/>
      <c r="E13" s="28" t="n">
        <v>91540</v>
      </c>
      <c r="F13" s="29" t="s">
        <v>28</v>
      </c>
    </row>
    <row r="14" customFormat="false" ht="15" hidden="false" customHeight="false" outlineLevel="0" collapsed="false">
      <c r="A14" s="16" t="n">
        <v>140003</v>
      </c>
      <c r="B14" s="30" t="s">
        <v>37</v>
      </c>
      <c r="C14" s="20" t="n">
        <v>15000</v>
      </c>
      <c r="D14" s="20"/>
      <c r="E14" s="20" t="n">
        <v>15000</v>
      </c>
      <c r="F14" s="31" t="s">
        <v>28</v>
      </c>
    </row>
    <row r="15" customFormat="false" ht="15" hidden="false" customHeight="false" outlineLevel="0" collapsed="false">
      <c r="A15" s="26" t="n">
        <v>150003</v>
      </c>
      <c r="B15" s="27" t="s">
        <v>38</v>
      </c>
      <c r="C15" s="28" t="n">
        <v>5229</v>
      </c>
      <c r="D15" s="28"/>
      <c r="E15" s="28" t="n">
        <v>5229</v>
      </c>
      <c r="F15" s="29" t="s">
        <v>28</v>
      </c>
    </row>
    <row r="16" customFormat="false" ht="15" hidden="false" customHeight="false" outlineLevel="0" collapsed="false">
      <c r="A16" s="16" t="n">
        <v>160001</v>
      </c>
      <c r="B16" s="30" t="s">
        <v>39</v>
      </c>
      <c r="C16" s="20" t="n">
        <v>33000</v>
      </c>
      <c r="D16" s="20"/>
      <c r="E16" s="20" t="n">
        <v>33000</v>
      </c>
      <c r="F16" s="31" t="s">
        <v>28</v>
      </c>
    </row>
    <row r="17" customFormat="false" ht="15" hidden="false" customHeight="false" outlineLevel="0" collapsed="false">
      <c r="A17" s="26" t="n">
        <v>170001</v>
      </c>
      <c r="B17" s="27" t="s">
        <v>40</v>
      </c>
      <c r="C17" s="28" t="n">
        <v>4375000</v>
      </c>
      <c r="D17" s="28"/>
      <c r="E17" s="28" t="n">
        <v>4375000</v>
      </c>
      <c r="F17" s="29" t="s">
        <v>28</v>
      </c>
    </row>
    <row r="18" customFormat="false" ht="15" hidden="false" customHeight="false" outlineLevel="0" collapsed="false">
      <c r="A18" s="16" t="n">
        <v>180001</v>
      </c>
      <c r="B18" s="30" t="s">
        <v>41</v>
      </c>
      <c r="C18" s="20" t="n">
        <v>14620000</v>
      </c>
      <c r="D18" s="20"/>
      <c r="E18" s="20" t="n">
        <v>14620000</v>
      </c>
      <c r="F18" s="31" t="s">
        <v>28</v>
      </c>
    </row>
    <row r="19" customFormat="false" ht="15" hidden="false" customHeight="false" outlineLevel="0" collapsed="false">
      <c r="A19" s="26" t="n">
        <v>190001</v>
      </c>
      <c r="B19" s="27" t="s">
        <v>42</v>
      </c>
      <c r="C19" s="28" t="n">
        <v>2910819</v>
      </c>
      <c r="D19" s="28"/>
      <c r="E19" s="28" t="n">
        <v>2910819</v>
      </c>
      <c r="F19" s="29" t="s">
        <v>28</v>
      </c>
    </row>
    <row r="20" customFormat="false" ht="15" hidden="false" customHeight="false" outlineLevel="0" collapsed="false">
      <c r="A20" s="16" t="n">
        <v>200000</v>
      </c>
      <c r="B20" s="30" t="s">
        <v>43</v>
      </c>
      <c r="C20" s="20" t="n">
        <v>2636860</v>
      </c>
      <c r="D20" s="20"/>
      <c r="E20" s="20" t="n">
        <v>2636860</v>
      </c>
      <c r="F20" s="31" t="s">
        <v>28</v>
      </c>
    </row>
    <row r="21" customFormat="false" ht="15" hidden="false" customHeight="false" outlineLevel="0" collapsed="false">
      <c r="A21" s="26" t="n">
        <v>200001</v>
      </c>
      <c r="B21" s="27" t="s">
        <v>44</v>
      </c>
      <c r="C21" s="28" t="n">
        <v>2491451</v>
      </c>
      <c r="D21" s="28"/>
      <c r="E21" s="28" t="n">
        <v>2491451</v>
      </c>
      <c r="F21" s="29" t="s">
        <v>28</v>
      </c>
    </row>
    <row r="22" customFormat="false" ht="15" hidden="false" customHeight="false" outlineLevel="0" collapsed="false">
      <c r="A22" s="16" t="n">
        <v>200002</v>
      </c>
      <c r="B22" s="30" t="s">
        <v>45</v>
      </c>
      <c r="C22" s="20" t="n">
        <v>2749415</v>
      </c>
      <c r="D22" s="20"/>
      <c r="E22" s="20" t="n">
        <v>2749415</v>
      </c>
      <c r="F22" s="31" t="s">
        <v>28</v>
      </c>
    </row>
    <row r="23" customFormat="false" ht="15" hidden="false" customHeight="false" outlineLevel="0" collapsed="false">
      <c r="A23" s="26" t="n">
        <v>200003</v>
      </c>
      <c r="B23" s="27" t="s">
        <v>46</v>
      </c>
      <c r="C23" s="28" t="n">
        <v>4156940</v>
      </c>
      <c r="D23" s="28"/>
      <c r="E23" s="28" t="n">
        <v>4156940</v>
      </c>
      <c r="F23" s="29" t="s">
        <v>28</v>
      </c>
    </row>
    <row r="24" customFormat="false" ht="15" hidden="false" customHeight="false" outlineLevel="0" collapsed="false">
      <c r="A24" s="16" t="n">
        <v>200004</v>
      </c>
      <c r="B24" s="30" t="s">
        <v>47</v>
      </c>
      <c r="C24" s="20" t="n">
        <v>697470</v>
      </c>
      <c r="D24" s="20"/>
      <c r="E24" s="20" t="n">
        <v>697470</v>
      </c>
      <c r="F24" s="31" t="s">
        <v>28</v>
      </c>
    </row>
    <row r="25" customFormat="false" ht="15" hidden="false" customHeight="false" outlineLevel="0" collapsed="false">
      <c r="A25" s="26" t="n">
        <v>210000</v>
      </c>
      <c r="B25" s="27" t="s">
        <v>48</v>
      </c>
      <c r="C25" s="28"/>
      <c r="D25" s="28" t="n">
        <v>3465559</v>
      </c>
      <c r="E25" s="28" t="n">
        <v>-3465559</v>
      </c>
      <c r="F25" s="29" t="s">
        <v>28</v>
      </c>
    </row>
    <row r="26" customFormat="false" ht="15" hidden="false" customHeight="false" outlineLevel="0" collapsed="false">
      <c r="A26" s="16" t="n">
        <v>210001</v>
      </c>
      <c r="B26" s="30" t="s">
        <v>49</v>
      </c>
      <c r="C26" s="20"/>
      <c r="D26" s="20" t="n">
        <v>5571502</v>
      </c>
      <c r="E26" s="20" t="n">
        <v>-5571502</v>
      </c>
      <c r="F26" s="31" t="s">
        <v>28</v>
      </c>
    </row>
    <row r="27" customFormat="false" ht="15" hidden="false" customHeight="false" outlineLevel="0" collapsed="false">
      <c r="A27" s="26" t="n">
        <v>210002</v>
      </c>
      <c r="B27" s="27" t="s">
        <v>50</v>
      </c>
      <c r="C27" s="28"/>
      <c r="D27" s="28" t="n">
        <v>3071883</v>
      </c>
      <c r="E27" s="28" t="n">
        <v>-3071883</v>
      </c>
      <c r="F27" s="29" t="s">
        <v>28</v>
      </c>
    </row>
    <row r="28" customFormat="false" ht="15" hidden="false" customHeight="false" outlineLevel="0" collapsed="false">
      <c r="A28" s="16" t="n">
        <v>210003</v>
      </c>
      <c r="B28" s="30" t="s">
        <v>51</v>
      </c>
      <c r="C28" s="20"/>
      <c r="D28" s="20" t="n">
        <v>1636960</v>
      </c>
      <c r="E28" s="20" t="n">
        <v>-1636960</v>
      </c>
      <c r="F28" s="31" t="s">
        <v>28</v>
      </c>
    </row>
    <row r="29" customFormat="false" ht="15" hidden="false" customHeight="false" outlineLevel="0" collapsed="false">
      <c r="A29" s="26" t="n">
        <v>300000</v>
      </c>
      <c r="B29" s="27" t="s">
        <v>52</v>
      </c>
      <c r="C29" s="28" t="n">
        <v>1356642</v>
      </c>
      <c r="D29" s="28"/>
      <c r="E29" s="28" t="n">
        <v>1356642</v>
      </c>
      <c r="F29" s="29" t="s">
        <v>28</v>
      </c>
    </row>
    <row r="30" customFormat="false" ht="15" hidden="false" customHeight="false" outlineLevel="0" collapsed="false">
      <c r="A30" s="16" t="n">
        <v>300001</v>
      </c>
      <c r="B30" s="30" t="s">
        <v>53</v>
      </c>
      <c r="C30" s="20" t="n">
        <v>4389321</v>
      </c>
      <c r="D30" s="20"/>
      <c r="E30" s="20" t="n">
        <v>4389321</v>
      </c>
      <c r="F30" s="31" t="s">
        <v>28</v>
      </c>
    </row>
    <row r="31" customFormat="false" ht="15" hidden="false" customHeight="false" outlineLevel="0" collapsed="false">
      <c r="A31" s="26" t="n">
        <v>400000</v>
      </c>
      <c r="B31" s="27" t="s">
        <v>54</v>
      </c>
      <c r="C31" s="28"/>
      <c r="D31" s="28" t="n">
        <v>4708610</v>
      </c>
      <c r="E31" s="28" t="n">
        <v>-4708610</v>
      </c>
      <c r="F31" s="29" t="s">
        <v>28</v>
      </c>
    </row>
    <row r="32" customFormat="false" ht="15" hidden="false" customHeight="false" outlineLevel="0" collapsed="false">
      <c r="A32" s="16" t="n">
        <v>400001</v>
      </c>
      <c r="B32" s="30" t="s">
        <v>55</v>
      </c>
      <c r="C32" s="20"/>
      <c r="D32" s="20" t="n">
        <v>1327849</v>
      </c>
      <c r="E32" s="20" t="n">
        <v>-1327849</v>
      </c>
      <c r="F32" s="31" t="s">
        <v>28</v>
      </c>
    </row>
    <row r="33" customFormat="false" ht="15" hidden="false" customHeight="false" outlineLevel="0" collapsed="false">
      <c r="A33" s="26" t="n">
        <v>400002</v>
      </c>
      <c r="B33" s="27" t="s">
        <v>56</v>
      </c>
      <c r="C33" s="28"/>
      <c r="D33" s="28" t="n">
        <v>46144</v>
      </c>
      <c r="E33" s="28" t="n">
        <v>-46144</v>
      </c>
      <c r="F33" s="29" t="s">
        <v>28</v>
      </c>
    </row>
    <row r="34" customFormat="false" ht="15" hidden="false" customHeight="false" outlineLevel="0" collapsed="false">
      <c r="A34" s="16" t="n">
        <v>400003</v>
      </c>
      <c r="B34" s="30" t="s">
        <v>57</v>
      </c>
      <c r="C34" s="20"/>
      <c r="D34" s="20" t="n">
        <v>61154</v>
      </c>
      <c r="E34" s="20" t="n">
        <v>-61154</v>
      </c>
      <c r="F34" s="31" t="s">
        <v>28</v>
      </c>
    </row>
    <row r="35" customFormat="false" ht="15" hidden="false" customHeight="false" outlineLevel="0" collapsed="false">
      <c r="A35" s="26" t="n">
        <v>400004</v>
      </c>
      <c r="B35" s="27" t="s">
        <v>58</v>
      </c>
      <c r="C35" s="28"/>
      <c r="D35" s="28" t="n">
        <v>26777</v>
      </c>
      <c r="E35" s="28" t="n">
        <v>-26777</v>
      </c>
      <c r="F35" s="29" t="s">
        <v>28</v>
      </c>
    </row>
    <row r="36" customFormat="false" ht="15" hidden="false" customHeight="false" outlineLevel="0" collapsed="false">
      <c r="A36" s="16" t="n">
        <v>400005</v>
      </c>
      <c r="B36" s="30" t="s">
        <v>59</v>
      </c>
      <c r="C36" s="20"/>
      <c r="D36" s="20" t="n">
        <v>8895</v>
      </c>
      <c r="E36" s="20" t="n">
        <v>-8895</v>
      </c>
      <c r="F36" s="31" t="s">
        <v>28</v>
      </c>
    </row>
    <row r="37" customFormat="false" ht="15" hidden="false" customHeight="false" outlineLevel="0" collapsed="false">
      <c r="A37" s="26" t="n">
        <v>500001</v>
      </c>
      <c r="B37" s="27" t="s">
        <v>60</v>
      </c>
      <c r="C37" s="28"/>
      <c r="D37" s="28" t="n">
        <v>49235</v>
      </c>
      <c r="E37" s="28" t="n">
        <v>-49235</v>
      </c>
      <c r="F37" s="29" t="s">
        <v>28</v>
      </c>
    </row>
    <row r="38" customFormat="false" ht="15" hidden="false" customHeight="false" outlineLevel="0" collapsed="false">
      <c r="A38" s="16" t="n">
        <v>500002</v>
      </c>
      <c r="B38" s="30" t="s">
        <v>61</v>
      </c>
      <c r="C38" s="20"/>
      <c r="D38" s="20" t="n">
        <v>468027</v>
      </c>
      <c r="E38" s="20" t="n">
        <v>-468027</v>
      </c>
      <c r="F38" s="31" t="s">
        <v>28</v>
      </c>
    </row>
    <row r="39" customFormat="false" ht="15" hidden="false" customHeight="false" outlineLevel="0" collapsed="false">
      <c r="A39" s="26" t="n">
        <v>500003</v>
      </c>
      <c r="B39" s="27" t="s">
        <v>62</v>
      </c>
      <c r="C39" s="28"/>
      <c r="D39" s="28" t="n">
        <v>24272</v>
      </c>
      <c r="E39" s="28" t="n">
        <v>-24272</v>
      </c>
      <c r="F39" s="29" t="s">
        <v>28</v>
      </c>
    </row>
    <row r="40" customFormat="false" ht="15" hidden="false" customHeight="false" outlineLevel="0" collapsed="false">
      <c r="A40" s="16" t="n">
        <v>600001</v>
      </c>
      <c r="B40" s="30" t="s">
        <v>63</v>
      </c>
      <c r="C40" s="20"/>
      <c r="D40" s="20" t="n">
        <v>68716</v>
      </c>
      <c r="E40" s="20" t="n">
        <v>-68716</v>
      </c>
      <c r="F40" s="31" t="s">
        <v>28</v>
      </c>
    </row>
    <row r="41" customFormat="false" ht="15" hidden="false" customHeight="false" outlineLevel="0" collapsed="false">
      <c r="A41" s="26" t="n">
        <v>600002</v>
      </c>
      <c r="B41" s="27" t="s">
        <v>64</v>
      </c>
      <c r="C41" s="28"/>
      <c r="D41" s="28" t="n">
        <v>2038196</v>
      </c>
      <c r="E41" s="28" t="n">
        <v>-2038196</v>
      </c>
      <c r="F41" s="29" t="s">
        <v>28</v>
      </c>
    </row>
    <row r="42" customFormat="false" ht="15" hidden="false" customHeight="false" outlineLevel="0" collapsed="false">
      <c r="A42" s="16" t="n">
        <v>600003</v>
      </c>
      <c r="B42" s="30" t="s">
        <v>65</v>
      </c>
      <c r="C42" s="20"/>
      <c r="D42" s="20" t="n">
        <v>2912173</v>
      </c>
      <c r="E42" s="20" t="n">
        <v>-2912173</v>
      </c>
      <c r="F42" s="31" t="s">
        <v>28</v>
      </c>
    </row>
    <row r="43" customFormat="false" ht="15" hidden="false" customHeight="false" outlineLevel="0" collapsed="false">
      <c r="A43" s="26" t="n">
        <v>700001</v>
      </c>
      <c r="B43" s="27" t="s">
        <v>66</v>
      </c>
      <c r="C43" s="28"/>
      <c r="D43" s="28" t="n">
        <v>2877999</v>
      </c>
      <c r="E43" s="28" t="n">
        <v>-2877999</v>
      </c>
      <c r="F43" s="29" t="s">
        <v>28</v>
      </c>
    </row>
    <row r="44" customFormat="false" ht="15" hidden="false" customHeight="false" outlineLevel="0" collapsed="false">
      <c r="A44" s="16" t="n">
        <v>700002</v>
      </c>
      <c r="B44" s="30" t="s">
        <v>67</v>
      </c>
      <c r="C44" s="20" t="n">
        <v>240904</v>
      </c>
      <c r="D44" s="20"/>
      <c r="E44" s="20" t="n">
        <v>240904</v>
      </c>
      <c r="F44" s="31" t="s">
        <v>28</v>
      </c>
    </row>
    <row r="45" customFormat="false" ht="15" hidden="false" customHeight="false" outlineLevel="0" collapsed="false">
      <c r="A45" s="26" t="n">
        <v>700003</v>
      </c>
      <c r="B45" s="27" t="s">
        <v>68</v>
      </c>
      <c r="C45" s="28"/>
      <c r="D45" s="28" t="n">
        <v>1812976</v>
      </c>
      <c r="E45" s="28" t="n">
        <v>-1812976</v>
      </c>
      <c r="F45" s="29" t="s">
        <v>28</v>
      </c>
    </row>
    <row r="46" customFormat="false" ht="15" hidden="false" customHeight="false" outlineLevel="0" collapsed="false">
      <c r="A46" s="16" t="n">
        <v>700004</v>
      </c>
      <c r="B46" s="30" t="s">
        <v>69</v>
      </c>
      <c r="C46" s="20"/>
      <c r="D46" s="20" t="n">
        <v>6464202</v>
      </c>
      <c r="E46" s="20" t="n">
        <v>-6464202</v>
      </c>
      <c r="F46" s="31" t="s">
        <v>28</v>
      </c>
    </row>
    <row r="47" customFormat="false" ht="15" hidden="false" customHeight="false" outlineLevel="0" collapsed="false">
      <c r="A47" s="26" t="n">
        <v>700005</v>
      </c>
      <c r="B47" s="27" t="s">
        <v>70</v>
      </c>
      <c r="C47" s="28"/>
      <c r="D47" s="28" t="n">
        <v>4164931</v>
      </c>
      <c r="E47" s="28" t="n">
        <v>-4164931</v>
      </c>
      <c r="F47" s="29" t="s">
        <v>28</v>
      </c>
    </row>
    <row r="48" customFormat="false" ht="15" hidden="false" customHeight="false" outlineLevel="0" collapsed="false">
      <c r="A48" s="16" t="n">
        <v>700006</v>
      </c>
      <c r="B48" s="30" t="s">
        <v>71</v>
      </c>
      <c r="C48" s="20"/>
      <c r="D48" s="20" t="n">
        <v>4388842</v>
      </c>
      <c r="E48" s="20" t="n">
        <v>-4388842</v>
      </c>
      <c r="F48" s="31" t="s">
        <v>28</v>
      </c>
    </row>
    <row r="49" customFormat="false" ht="15" hidden="false" customHeight="false" outlineLevel="0" collapsed="false">
      <c r="A49" s="32" t="n">
        <v>800001</v>
      </c>
      <c r="B49" s="33" t="s">
        <v>72</v>
      </c>
      <c r="C49" s="34"/>
      <c r="D49" s="34" t="n">
        <v>23043496</v>
      </c>
      <c r="E49" s="34" t="n">
        <v>-23043496</v>
      </c>
      <c r="F49" s="35" t="s">
        <v>14</v>
      </c>
    </row>
    <row r="50" customFormat="false" ht="15" hidden="false" customHeight="false" outlineLevel="0" collapsed="false">
      <c r="A50" s="32" t="n">
        <v>800002</v>
      </c>
      <c r="B50" s="33" t="s">
        <v>73</v>
      </c>
      <c r="C50" s="34"/>
      <c r="D50" s="34" t="n">
        <v>2229331</v>
      </c>
      <c r="E50" s="34" t="n">
        <v>-2229331</v>
      </c>
      <c r="F50" s="35" t="s">
        <v>15</v>
      </c>
    </row>
    <row r="51" customFormat="false" ht="15" hidden="false" customHeight="false" outlineLevel="0" collapsed="false">
      <c r="A51" s="32" t="n">
        <v>800003</v>
      </c>
      <c r="B51" s="33" t="s">
        <v>74</v>
      </c>
      <c r="C51" s="34"/>
      <c r="D51" s="34" t="n">
        <v>5573328</v>
      </c>
      <c r="E51" s="34" t="n">
        <v>-5573328</v>
      </c>
      <c r="F51" s="35" t="s">
        <v>15</v>
      </c>
    </row>
    <row r="52" customFormat="false" ht="15" hidden="false" customHeight="false" outlineLevel="0" collapsed="false">
      <c r="A52" s="32" t="n">
        <v>800004</v>
      </c>
      <c r="B52" s="33" t="s">
        <v>75</v>
      </c>
      <c r="C52" s="34"/>
      <c r="D52" s="34" t="n">
        <v>2340798</v>
      </c>
      <c r="E52" s="34" t="n">
        <v>-2340798</v>
      </c>
      <c r="F52" s="35" t="s">
        <v>15</v>
      </c>
    </row>
    <row r="53" customFormat="false" ht="15" hidden="false" customHeight="false" outlineLevel="0" collapsed="false">
      <c r="A53" s="32" t="n">
        <v>800005</v>
      </c>
      <c r="B53" s="33" t="s">
        <v>76</v>
      </c>
      <c r="C53" s="34"/>
      <c r="D53" s="34" t="n">
        <v>1003199</v>
      </c>
      <c r="E53" s="34" t="n">
        <v>-1003199</v>
      </c>
      <c r="F53" s="35" t="s">
        <v>16</v>
      </c>
    </row>
    <row r="54" customFormat="false" ht="15" hidden="false" customHeight="false" outlineLevel="0" collapsed="false">
      <c r="A54" s="32" t="n">
        <v>800006</v>
      </c>
      <c r="B54" s="33" t="s">
        <v>77</v>
      </c>
      <c r="C54" s="34"/>
      <c r="D54" s="34" t="n">
        <v>2503381</v>
      </c>
      <c r="E54" s="34" t="n">
        <v>-2503381</v>
      </c>
      <c r="F54" s="35" t="s">
        <v>17</v>
      </c>
    </row>
    <row r="55" customFormat="false" ht="15" hidden="false" customHeight="false" outlineLevel="0" collapsed="false">
      <c r="A55" s="32" t="n">
        <v>800007</v>
      </c>
      <c r="B55" s="33" t="s">
        <v>78</v>
      </c>
      <c r="C55" s="34"/>
      <c r="D55" s="34" t="n">
        <v>2071064</v>
      </c>
      <c r="E55" s="34" t="n">
        <v>-2071064</v>
      </c>
      <c r="F55" s="35" t="s">
        <v>17</v>
      </c>
    </row>
    <row r="56" customFormat="false" ht="15" hidden="false" customHeight="false" outlineLevel="0" collapsed="false">
      <c r="A56" s="32" t="n">
        <v>800008</v>
      </c>
      <c r="B56" s="33" t="s">
        <v>79</v>
      </c>
      <c r="C56" s="34"/>
      <c r="D56" s="34" t="n">
        <v>3402096</v>
      </c>
      <c r="E56" s="34" t="n">
        <v>-3402096</v>
      </c>
      <c r="F56" s="35" t="s">
        <v>18</v>
      </c>
    </row>
    <row r="57" customFormat="false" ht="15" hidden="false" customHeight="false" outlineLevel="0" collapsed="false">
      <c r="A57" s="26" t="n">
        <v>900001</v>
      </c>
      <c r="B57" s="27" t="s">
        <v>80</v>
      </c>
      <c r="C57" s="28" t="n">
        <v>2395349</v>
      </c>
      <c r="D57" s="28"/>
      <c r="E57" s="28" t="n">
        <v>2395349</v>
      </c>
      <c r="F57" s="29" t="s">
        <v>28</v>
      </c>
    </row>
    <row r="58" customFormat="false" ht="15" hidden="false" customHeight="false" outlineLevel="0" collapsed="false">
      <c r="A58" s="16" t="n">
        <v>900002</v>
      </c>
      <c r="B58" s="30" t="s">
        <v>81</v>
      </c>
      <c r="C58" s="20" t="n">
        <v>373652</v>
      </c>
      <c r="D58" s="20"/>
      <c r="E58" s="20" t="n">
        <v>373652</v>
      </c>
      <c r="F58" s="31" t="s">
        <v>28</v>
      </c>
    </row>
    <row r="59" customFormat="false" ht="15" hidden="false" customHeight="false" outlineLevel="0" collapsed="false">
      <c r="A59" s="26" t="n">
        <v>900003</v>
      </c>
      <c r="B59" s="27" t="s">
        <v>82</v>
      </c>
      <c r="C59" s="28" t="n">
        <v>3027260</v>
      </c>
      <c r="D59" s="28"/>
      <c r="E59" s="28" t="n">
        <v>3027260</v>
      </c>
      <c r="F59" s="29" t="s">
        <v>28</v>
      </c>
    </row>
    <row r="60" customFormat="false" ht="15" hidden="false" customHeight="false" outlineLevel="0" collapsed="false">
      <c r="A60" s="16" t="n">
        <v>900004</v>
      </c>
      <c r="B60" s="30" t="s">
        <v>83</v>
      </c>
      <c r="C60" s="20" t="n">
        <v>7325600</v>
      </c>
      <c r="D60" s="20"/>
      <c r="E60" s="20" t="n">
        <v>7325600</v>
      </c>
      <c r="F60" s="31" t="s">
        <v>28</v>
      </c>
    </row>
    <row r="61" customFormat="false" ht="15" hidden="false" customHeight="false" outlineLevel="0" collapsed="false">
      <c r="A61" s="26" t="n">
        <v>900005</v>
      </c>
      <c r="B61" s="27" t="s">
        <v>84</v>
      </c>
      <c r="C61" s="28" t="n">
        <v>2737750</v>
      </c>
      <c r="D61" s="28"/>
      <c r="E61" s="28" t="n">
        <v>2737750</v>
      </c>
      <c r="F61" s="29" t="s">
        <v>28</v>
      </c>
    </row>
    <row r="62" customFormat="false" ht="15" hidden="false" customHeight="false" outlineLevel="0" collapsed="false">
      <c r="A62" s="16" t="n">
        <v>900006</v>
      </c>
      <c r="B62" s="30" t="s">
        <v>85</v>
      </c>
      <c r="C62" s="20" t="n">
        <v>285000</v>
      </c>
      <c r="D62" s="20"/>
      <c r="E62" s="20" t="n">
        <v>285000</v>
      </c>
      <c r="F62" s="31" t="s">
        <v>28</v>
      </c>
    </row>
    <row r="63" customFormat="false" ht="15" hidden="false" customHeight="false" outlineLevel="0" collapsed="false">
      <c r="A63" s="26" t="n">
        <v>900007</v>
      </c>
      <c r="B63" s="27" t="s">
        <v>86</v>
      </c>
      <c r="C63" s="28" t="n">
        <v>20000</v>
      </c>
      <c r="D63" s="28"/>
      <c r="E63" s="28" t="n">
        <v>20000</v>
      </c>
      <c r="F63" s="29" t="s">
        <v>28</v>
      </c>
    </row>
    <row r="64" customFormat="false" ht="15" hidden="false" customHeight="false" outlineLevel="0" collapsed="false">
      <c r="A64" s="16" t="n">
        <v>900008</v>
      </c>
      <c r="B64" s="30" t="s">
        <v>87</v>
      </c>
      <c r="C64" s="20" t="n">
        <v>295766</v>
      </c>
      <c r="D64" s="20"/>
      <c r="E64" s="20" t="n">
        <v>295766</v>
      </c>
      <c r="F64" s="31" t="s">
        <v>28</v>
      </c>
    </row>
    <row r="65" customFormat="false" ht="15" hidden="false" customHeight="false" outlineLevel="0" collapsed="false">
      <c r="A65" s="26" t="n">
        <v>900009</v>
      </c>
      <c r="B65" s="27" t="s">
        <v>88</v>
      </c>
      <c r="C65" s="28" t="n">
        <v>757160</v>
      </c>
      <c r="D65" s="28"/>
      <c r="E65" s="28" t="n">
        <v>757160</v>
      </c>
      <c r="F65" s="29" t="s">
        <v>28</v>
      </c>
    </row>
    <row r="66" customFormat="false" ht="15" hidden="false" customHeight="false" outlineLevel="0" collapsed="false">
      <c r="A66" s="16" t="n">
        <v>900010</v>
      </c>
      <c r="B66" s="30" t="s">
        <v>89</v>
      </c>
      <c r="C66" s="20" t="n">
        <v>20445</v>
      </c>
      <c r="D66" s="20"/>
      <c r="E66" s="20" t="n">
        <v>20445</v>
      </c>
      <c r="F66" s="31" t="s">
        <v>28</v>
      </c>
    </row>
    <row r="67" customFormat="false" ht="15" hidden="false" customHeight="false" outlineLevel="0" collapsed="false">
      <c r="A67" s="26" t="n">
        <v>900011</v>
      </c>
      <c r="B67" s="27" t="s">
        <v>90</v>
      </c>
      <c r="C67" s="28" t="n">
        <v>282065</v>
      </c>
      <c r="D67" s="28"/>
      <c r="E67" s="28" t="n">
        <v>282065</v>
      </c>
      <c r="F67" s="29" t="s">
        <v>28</v>
      </c>
    </row>
    <row r="68" customFormat="false" ht="15" hidden="false" customHeight="false" outlineLevel="0" collapsed="false">
      <c r="A68" s="16" t="n">
        <v>900012</v>
      </c>
      <c r="B68" s="30" t="s">
        <v>91</v>
      </c>
      <c r="C68" s="20" t="n">
        <v>2585</v>
      </c>
      <c r="D68" s="20"/>
      <c r="E68" s="20" t="n">
        <v>2585</v>
      </c>
      <c r="F68" s="31" t="s">
        <v>28</v>
      </c>
    </row>
    <row r="69" customFormat="false" ht="15" hidden="false" customHeight="false" outlineLevel="0" collapsed="false">
      <c r="A69" s="26" t="n">
        <v>900013</v>
      </c>
      <c r="B69" s="27" t="s">
        <v>92</v>
      </c>
      <c r="C69" s="28" t="n">
        <v>304883</v>
      </c>
      <c r="D69" s="28"/>
      <c r="E69" s="28" t="n">
        <v>304883</v>
      </c>
      <c r="F69" s="29" t="s">
        <v>28</v>
      </c>
    </row>
    <row r="70" customFormat="false" ht="15" hidden="false" customHeight="false" outlineLevel="0" collapsed="false">
      <c r="A70" s="16" t="n">
        <v>900014</v>
      </c>
      <c r="B70" s="30" t="s">
        <v>93</v>
      </c>
      <c r="C70" s="20" t="n">
        <v>28696</v>
      </c>
      <c r="D70" s="20"/>
      <c r="E70" s="20" t="n">
        <v>28696</v>
      </c>
      <c r="F70" s="31" t="s">
        <v>28</v>
      </c>
    </row>
    <row r="71" customFormat="false" ht="15" hidden="false" customHeight="false" outlineLevel="0" collapsed="false">
      <c r="A71" s="26" t="n">
        <v>900015</v>
      </c>
      <c r="B71" s="27" t="s">
        <v>94</v>
      </c>
      <c r="C71" s="28" t="n">
        <v>1242</v>
      </c>
      <c r="D71" s="28"/>
      <c r="E71" s="28" t="n">
        <v>1242</v>
      </c>
      <c r="F71" s="29" t="s">
        <v>28</v>
      </c>
    </row>
    <row r="72" customFormat="false" ht="15" hidden="false" customHeight="false" outlineLevel="0" collapsed="false">
      <c r="A72" s="16" t="n">
        <v>900016</v>
      </c>
      <c r="B72" s="30" t="s">
        <v>95</v>
      </c>
      <c r="C72" s="20" t="n">
        <v>254332</v>
      </c>
      <c r="D72" s="20"/>
      <c r="E72" s="20" t="n">
        <v>254332</v>
      </c>
      <c r="F72" s="31" t="s">
        <v>28</v>
      </c>
    </row>
    <row r="73" customFormat="false" ht="15" hidden="false" customHeight="false" outlineLevel="0" collapsed="false">
      <c r="A73" s="26" t="n">
        <v>900017</v>
      </c>
      <c r="B73" s="27" t="s">
        <v>96</v>
      </c>
      <c r="C73" s="28" t="n">
        <v>2216</v>
      </c>
      <c r="D73" s="28"/>
      <c r="E73" s="28" t="n">
        <v>2216</v>
      </c>
      <c r="F73" s="29" t="s">
        <v>28</v>
      </c>
    </row>
    <row r="74" customFormat="false" ht="15" hidden="false" customHeight="false" outlineLevel="0" collapsed="false">
      <c r="A74" s="16" t="n">
        <v>900018</v>
      </c>
      <c r="B74" s="30" t="s">
        <v>97</v>
      </c>
      <c r="C74" s="20" t="n">
        <v>831760</v>
      </c>
      <c r="D74" s="20"/>
      <c r="E74" s="20" t="n">
        <v>831760</v>
      </c>
      <c r="F74" s="31" t="s">
        <v>28</v>
      </c>
    </row>
    <row r="75" customFormat="false" ht="15" hidden="false" customHeight="false" outlineLevel="0" collapsed="false">
      <c r="A75" s="26" t="n">
        <v>900019</v>
      </c>
      <c r="B75" s="27" t="s">
        <v>98</v>
      </c>
      <c r="C75" s="28" t="n">
        <v>22134</v>
      </c>
      <c r="D75" s="28"/>
      <c r="E75" s="28" t="n">
        <v>22134</v>
      </c>
      <c r="F75" s="29" t="s">
        <v>28</v>
      </c>
    </row>
    <row r="76" customFormat="false" ht="15" hidden="false" customHeight="false" outlineLevel="0" collapsed="false">
      <c r="A76" s="16" t="n">
        <v>910001</v>
      </c>
      <c r="B76" s="30" t="s">
        <v>99</v>
      </c>
      <c r="C76" s="20"/>
      <c r="D76" s="20" t="n">
        <v>285405</v>
      </c>
      <c r="E76" s="20" t="n">
        <v>-285405</v>
      </c>
      <c r="F76" s="31" t="s">
        <v>28</v>
      </c>
    </row>
    <row r="77" customFormat="false" ht="15" hidden="false" customHeight="false" outlineLevel="0" collapsed="false">
      <c r="A77" s="26" t="n">
        <v>910002</v>
      </c>
      <c r="B77" s="27" t="s">
        <v>100</v>
      </c>
      <c r="C77" s="28" t="n">
        <v>5101792</v>
      </c>
      <c r="D77" s="28"/>
      <c r="E77" s="28" t="n">
        <v>5101792</v>
      </c>
      <c r="F77" s="29" t="s">
        <v>28</v>
      </c>
    </row>
    <row r="78" customFormat="false" ht="15" hidden="false" customHeight="false" outlineLevel="0" collapsed="false">
      <c r="A78" s="16" t="n">
        <v>910003</v>
      </c>
      <c r="B78" s="30" t="s">
        <v>101</v>
      </c>
      <c r="C78" s="20" t="n">
        <v>1016680</v>
      </c>
      <c r="D78" s="20"/>
      <c r="E78" s="20" t="n">
        <v>1016680</v>
      </c>
      <c r="F78" s="31" t="s">
        <v>28</v>
      </c>
    </row>
    <row r="79" customFormat="false" ht="15" hidden="false" customHeight="false" outlineLevel="0" collapsed="false">
      <c r="A79" s="26" t="n">
        <v>910004</v>
      </c>
      <c r="B79" s="27" t="s">
        <v>102</v>
      </c>
      <c r="C79" s="28" t="n">
        <v>750000</v>
      </c>
      <c r="D79" s="28"/>
      <c r="E79" s="28" t="n">
        <v>750000</v>
      </c>
      <c r="F79" s="29" t="s">
        <v>28</v>
      </c>
    </row>
    <row r="80" customFormat="false" ht="15" hidden="false" customHeight="false" outlineLevel="0" collapsed="false">
      <c r="A80" s="16" t="n">
        <v>910005</v>
      </c>
      <c r="B80" s="30" t="s">
        <v>103</v>
      </c>
      <c r="C80" s="20" t="n">
        <v>20000</v>
      </c>
      <c r="D80" s="20"/>
      <c r="E80" s="20" t="n">
        <v>20000</v>
      </c>
      <c r="F80" s="31" t="s">
        <v>28</v>
      </c>
    </row>
    <row r="81" customFormat="false" ht="15" hidden="false" customHeight="false" outlineLevel="0" collapsed="false">
      <c r="A81" s="26" t="n">
        <v>910006</v>
      </c>
      <c r="B81" s="27" t="s">
        <v>104</v>
      </c>
      <c r="C81" s="28" t="n">
        <v>1905750</v>
      </c>
      <c r="D81" s="28"/>
      <c r="E81" s="28" t="n">
        <v>1905750</v>
      </c>
      <c r="F81" s="29" t="s">
        <v>28</v>
      </c>
    </row>
    <row r="82" customFormat="false" ht="15" hidden="false" customHeight="false" outlineLevel="0" collapsed="false">
      <c r="A82" s="16" t="n">
        <v>910007</v>
      </c>
      <c r="B82" s="30" t="s">
        <v>105</v>
      </c>
      <c r="C82" s="20" t="n">
        <v>2378</v>
      </c>
      <c r="D82" s="20"/>
      <c r="E82" s="20" t="n">
        <v>2378</v>
      </c>
      <c r="F82" s="31" t="s">
        <v>28</v>
      </c>
    </row>
    <row r="83" customFormat="false" ht="15" hidden="false" customHeight="false" outlineLevel="0" collapsed="false">
      <c r="A83" s="26" t="n">
        <v>910008</v>
      </c>
      <c r="B83" s="27" t="s">
        <v>106</v>
      </c>
      <c r="C83" s="28" t="n">
        <v>1132550</v>
      </c>
      <c r="D83" s="28"/>
      <c r="E83" s="28" t="n">
        <v>1132550</v>
      </c>
      <c r="F83" s="29" t="s">
        <v>28</v>
      </c>
    </row>
    <row r="84" customFormat="false" ht="15" hidden="false" customHeight="false" outlineLevel="0" collapsed="false">
      <c r="A84" s="16" t="n">
        <v>910009</v>
      </c>
      <c r="B84" s="30" t="s">
        <v>107</v>
      </c>
      <c r="C84" s="20" t="n">
        <v>72017</v>
      </c>
      <c r="D84" s="20"/>
      <c r="E84" s="20" t="n">
        <v>72017</v>
      </c>
      <c r="F84" s="31" t="s">
        <v>28</v>
      </c>
    </row>
    <row r="85" customFormat="false" ht="15" hidden="false" customHeight="false" outlineLevel="0" collapsed="false">
      <c r="A85" s="26" t="n">
        <v>910010</v>
      </c>
      <c r="B85" s="27" t="s">
        <v>108</v>
      </c>
      <c r="C85" s="28" t="n">
        <v>60146</v>
      </c>
      <c r="D85" s="28"/>
      <c r="E85" s="28" t="n">
        <v>60146</v>
      </c>
      <c r="F85" s="29" t="s">
        <v>28</v>
      </c>
    </row>
    <row r="86" customFormat="false" ht="15" hidden="false" customHeight="false" outlineLevel="0" collapsed="false">
      <c r="A86" s="16" t="n">
        <v>910011</v>
      </c>
      <c r="B86" s="30" t="s">
        <v>109</v>
      </c>
      <c r="C86" s="20" t="n">
        <v>28480</v>
      </c>
      <c r="D86" s="20"/>
      <c r="E86" s="20" t="n">
        <v>28480</v>
      </c>
      <c r="F86" s="31" t="s">
        <v>28</v>
      </c>
    </row>
    <row r="87" customFormat="false" ht="15" hidden="false" customHeight="false" outlineLevel="0" collapsed="false">
      <c r="A87" s="26" t="n">
        <v>910012</v>
      </c>
      <c r="B87" s="27" t="s">
        <v>110</v>
      </c>
      <c r="C87" s="28" t="n">
        <v>23329</v>
      </c>
      <c r="D87" s="28"/>
      <c r="E87" s="28" t="n">
        <v>23329</v>
      </c>
      <c r="F87" s="29" t="s">
        <v>28</v>
      </c>
    </row>
    <row r="88" customFormat="false" ht="15" hidden="false" customHeight="false" outlineLevel="0" collapsed="false">
      <c r="A88" s="16" t="n">
        <v>910013</v>
      </c>
      <c r="B88" s="30" t="s">
        <v>111</v>
      </c>
      <c r="C88" s="20" t="n">
        <v>42612</v>
      </c>
      <c r="D88" s="20"/>
      <c r="E88" s="20" t="n">
        <v>42612</v>
      </c>
      <c r="F88" s="31" t="s">
        <v>28</v>
      </c>
    </row>
    <row r="89" customFormat="false" ht="15" hidden="false" customHeight="false" outlineLevel="0" collapsed="false">
      <c r="A89" s="26" t="n">
        <v>910014</v>
      </c>
      <c r="B89" s="27" t="s">
        <v>112</v>
      </c>
      <c r="C89" s="28" t="n">
        <v>196262</v>
      </c>
      <c r="D89" s="28"/>
      <c r="E89" s="28" t="n">
        <v>196262</v>
      </c>
      <c r="F89" s="29" t="s">
        <v>28</v>
      </c>
    </row>
    <row r="90" customFormat="false" ht="15" hidden="false" customHeight="false" outlineLevel="0" collapsed="false">
      <c r="A90" s="16" t="n">
        <v>910015</v>
      </c>
      <c r="B90" s="30" t="s">
        <v>113</v>
      </c>
      <c r="C90" s="20" t="n">
        <v>509260</v>
      </c>
      <c r="D90" s="20"/>
      <c r="E90" s="20" t="n">
        <v>509260</v>
      </c>
      <c r="F90" s="31" t="s">
        <v>28</v>
      </c>
    </row>
    <row r="91" customFormat="false" ht="15" hidden="false" customHeight="false" outlineLevel="0" collapsed="false">
      <c r="A91" s="26" t="n">
        <v>910016</v>
      </c>
      <c r="B91" s="27" t="s">
        <v>114</v>
      </c>
      <c r="C91" s="28" t="n">
        <v>1167</v>
      </c>
      <c r="D91" s="28"/>
      <c r="E91" s="28" t="n">
        <v>1167</v>
      </c>
      <c r="F91" s="29" t="s">
        <v>28</v>
      </c>
    </row>
    <row r="92" customFormat="false" ht="15" hidden="false" customHeight="false" outlineLevel="0" collapsed="false">
      <c r="A92" s="16" t="n">
        <v>910017</v>
      </c>
      <c r="B92" s="30" t="s">
        <v>115</v>
      </c>
      <c r="C92" s="20" t="n">
        <v>25665</v>
      </c>
      <c r="D92" s="20"/>
      <c r="E92" s="20" t="n">
        <v>25665</v>
      </c>
      <c r="F92" s="31" t="s">
        <v>28</v>
      </c>
    </row>
    <row r="93" customFormat="false" ht="15" hidden="false" customHeight="false" outlineLevel="0" collapsed="false">
      <c r="A93" s="26" t="n">
        <v>910018</v>
      </c>
      <c r="B93" s="27" t="s">
        <v>116</v>
      </c>
      <c r="C93" s="28" t="n">
        <v>7748720</v>
      </c>
      <c r="D93" s="28"/>
      <c r="E93" s="28" t="n">
        <v>7748720</v>
      </c>
      <c r="F93" s="29" t="s">
        <v>28</v>
      </c>
    </row>
    <row r="94" customFormat="false" ht="15" hidden="false" customHeight="true" outlineLevel="0" collapsed="false">
      <c r="A94" s="36" t="s">
        <v>117</v>
      </c>
      <c r="B94" s="36"/>
      <c r="C94" s="37" t="n">
        <f aca="false">SUM(C5:C93)</f>
        <v>92972000</v>
      </c>
      <c r="D94" s="37" t="n">
        <f aca="false">SUM(D5:D93)</f>
        <v>92972000</v>
      </c>
      <c r="E94" s="37" t="n">
        <f aca="false">C94-D94</f>
        <v>0</v>
      </c>
    </row>
    <row r="95" customFormat="false" ht="15" hidden="false" customHeight="true" outlineLevel="0" collapsed="false">
      <c r="A95" s="38" t="s">
        <v>118</v>
      </c>
      <c r="B95" s="38"/>
      <c r="C95" s="39" t="n">
        <f aca="false">C94-D94</f>
        <v>0</v>
      </c>
    </row>
  </sheetData>
  <mergeCells count="5">
    <mergeCell ref="A1:F1"/>
    <mergeCell ref="A2:F2"/>
    <mergeCell ref="A3:F3"/>
    <mergeCell ref="A94:B94"/>
    <mergeCell ref="A95:B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5" t="s">
        <v>20</v>
      </c>
      <c r="B2" s="25"/>
      <c r="C2" s="25"/>
      <c r="D2" s="25"/>
      <c r="E2" s="25"/>
      <c r="F2" s="25"/>
    </row>
    <row r="3" customFormat="false" ht="15" hidden="false" customHeight="true" outlineLevel="0" collapsed="false">
      <c r="A3" s="3" t="s">
        <v>119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9" t="s">
        <v>22</v>
      </c>
      <c r="B4" s="9" t="s">
        <v>8</v>
      </c>
      <c r="C4" s="9" t="s">
        <v>23</v>
      </c>
      <c r="D4" s="9" t="s">
        <v>24</v>
      </c>
      <c r="E4" s="9" t="s">
        <v>25</v>
      </c>
      <c r="F4" s="9" t="s">
        <v>26</v>
      </c>
    </row>
    <row r="5" customFormat="false" ht="15" hidden="false" customHeight="false" outlineLevel="0" collapsed="false">
      <c r="A5" s="26" t="n">
        <v>100001</v>
      </c>
      <c r="B5" s="27" t="s">
        <v>27</v>
      </c>
      <c r="C5" s="28" t="n">
        <v>2513545</v>
      </c>
      <c r="D5" s="28"/>
      <c r="E5" s="28" t="n">
        <v>2513545</v>
      </c>
      <c r="F5" s="29" t="s">
        <v>28</v>
      </c>
    </row>
    <row r="6" customFormat="false" ht="15" hidden="false" customHeight="false" outlineLevel="0" collapsed="false">
      <c r="A6" s="16" t="n">
        <v>100002</v>
      </c>
      <c r="B6" s="30" t="s">
        <v>29</v>
      </c>
      <c r="C6" s="20" t="n">
        <v>1765738</v>
      </c>
      <c r="D6" s="20"/>
      <c r="E6" s="20" t="n">
        <v>1765738</v>
      </c>
      <c r="F6" s="31" t="s">
        <v>28</v>
      </c>
    </row>
    <row r="7" customFormat="false" ht="15" hidden="false" customHeight="false" outlineLevel="0" collapsed="false">
      <c r="A7" s="26" t="n">
        <v>100003</v>
      </c>
      <c r="B7" s="27" t="s">
        <v>30</v>
      </c>
      <c r="C7" s="28" t="n">
        <v>3962126</v>
      </c>
      <c r="D7" s="28"/>
      <c r="E7" s="28" t="n">
        <v>3962126</v>
      </c>
      <c r="F7" s="29" t="s">
        <v>28</v>
      </c>
    </row>
    <row r="8" customFormat="false" ht="15" hidden="false" customHeight="false" outlineLevel="0" collapsed="false">
      <c r="A8" s="16" t="n">
        <v>100004</v>
      </c>
      <c r="B8" s="30" t="s">
        <v>31</v>
      </c>
      <c r="C8" s="20" t="n">
        <v>1383</v>
      </c>
      <c r="D8" s="20"/>
      <c r="E8" s="20" t="n">
        <v>1383</v>
      </c>
      <c r="F8" s="31" t="s">
        <v>28</v>
      </c>
    </row>
    <row r="9" customFormat="false" ht="15" hidden="false" customHeight="false" outlineLevel="0" collapsed="false">
      <c r="A9" s="26" t="n">
        <v>120000</v>
      </c>
      <c r="B9" s="27" t="s">
        <v>32</v>
      </c>
      <c r="C9" s="28" t="n">
        <v>4996958</v>
      </c>
      <c r="D9" s="28"/>
      <c r="E9" s="28" t="n">
        <v>4996958</v>
      </c>
      <c r="F9" s="29" t="s">
        <v>28</v>
      </c>
    </row>
    <row r="10" customFormat="false" ht="15" hidden="false" customHeight="false" outlineLevel="0" collapsed="false">
      <c r="A10" s="16" t="n">
        <v>120001</v>
      </c>
      <c r="B10" s="30" t="s">
        <v>33</v>
      </c>
      <c r="C10" s="20"/>
      <c r="D10" s="20" t="n">
        <v>5325000</v>
      </c>
      <c r="E10" s="20" t="n">
        <v>-5325000</v>
      </c>
      <c r="F10" s="31" t="s">
        <v>28</v>
      </c>
    </row>
    <row r="11" customFormat="false" ht="15" hidden="false" customHeight="false" outlineLevel="0" collapsed="false">
      <c r="A11" s="26" t="n">
        <v>130001</v>
      </c>
      <c r="B11" s="27" t="s">
        <v>34</v>
      </c>
      <c r="C11" s="28" t="n">
        <v>1335956</v>
      </c>
      <c r="D11" s="28"/>
      <c r="E11" s="28" t="n">
        <v>1335956</v>
      </c>
      <c r="F11" s="29" t="s">
        <v>28</v>
      </c>
    </row>
    <row r="12" customFormat="false" ht="15" hidden="false" customHeight="false" outlineLevel="0" collapsed="false">
      <c r="A12" s="16" t="n">
        <v>140001</v>
      </c>
      <c r="B12" s="30" t="s">
        <v>35</v>
      </c>
      <c r="C12" s="20" t="n">
        <v>22000</v>
      </c>
      <c r="D12" s="20"/>
      <c r="E12" s="20" t="n">
        <v>22000</v>
      </c>
      <c r="F12" s="31" t="s">
        <v>28</v>
      </c>
    </row>
    <row r="13" customFormat="false" ht="15" hidden="false" customHeight="false" outlineLevel="0" collapsed="false">
      <c r="A13" s="26" t="n">
        <v>140002</v>
      </c>
      <c r="B13" s="27" t="s">
        <v>36</v>
      </c>
      <c r="C13" s="28" t="n">
        <v>91540</v>
      </c>
      <c r="D13" s="28"/>
      <c r="E13" s="28" t="n">
        <v>91540</v>
      </c>
      <c r="F13" s="29" t="s">
        <v>28</v>
      </c>
    </row>
    <row r="14" customFormat="false" ht="15" hidden="false" customHeight="false" outlineLevel="0" collapsed="false">
      <c r="A14" s="16" t="n">
        <v>140003</v>
      </c>
      <c r="B14" s="30" t="s">
        <v>37</v>
      </c>
      <c r="C14" s="20" t="n">
        <v>15000</v>
      </c>
      <c r="D14" s="20"/>
      <c r="E14" s="20" t="n">
        <v>15000</v>
      </c>
      <c r="F14" s="31" t="s">
        <v>28</v>
      </c>
    </row>
    <row r="15" customFormat="false" ht="15" hidden="false" customHeight="false" outlineLevel="0" collapsed="false">
      <c r="A15" s="26" t="n">
        <v>150003</v>
      </c>
      <c r="B15" s="27" t="s">
        <v>38</v>
      </c>
      <c r="C15" s="28" t="n">
        <v>5229</v>
      </c>
      <c r="D15" s="28"/>
      <c r="E15" s="28" t="n">
        <v>5229</v>
      </c>
      <c r="F15" s="29" t="s">
        <v>28</v>
      </c>
    </row>
    <row r="16" customFormat="false" ht="15" hidden="false" customHeight="false" outlineLevel="0" collapsed="false">
      <c r="A16" s="16" t="n">
        <v>160001</v>
      </c>
      <c r="B16" s="30" t="s">
        <v>39</v>
      </c>
      <c r="C16" s="20" t="n">
        <v>33000</v>
      </c>
      <c r="D16" s="20"/>
      <c r="E16" s="20" t="n">
        <v>33000</v>
      </c>
      <c r="F16" s="31" t="s">
        <v>28</v>
      </c>
    </row>
    <row r="17" customFormat="false" ht="15" hidden="false" customHeight="false" outlineLevel="0" collapsed="false">
      <c r="A17" s="26" t="n">
        <v>170001</v>
      </c>
      <c r="B17" s="27" t="s">
        <v>40</v>
      </c>
      <c r="C17" s="28" t="n">
        <v>4375000</v>
      </c>
      <c r="D17" s="28"/>
      <c r="E17" s="28" t="n">
        <v>4375000</v>
      </c>
      <c r="F17" s="29" t="s">
        <v>28</v>
      </c>
    </row>
    <row r="18" customFormat="false" ht="15" hidden="false" customHeight="false" outlineLevel="0" collapsed="false">
      <c r="A18" s="16" t="n">
        <v>180001</v>
      </c>
      <c r="B18" s="30" t="s">
        <v>41</v>
      </c>
      <c r="C18" s="20" t="n">
        <v>14620000</v>
      </c>
      <c r="D18" s="20"/>
      <c r="E18" s="20" t="n">
        <v>14620000</v>
      </c>
      <c r="F18" s="31" t="s">
        <v>28</v>
      </c>
    </row>
    <row r="19" customFormat="false" ht="15" hidden="false" customHeight="false" outlineLevel="0" collapsed="false">
      <c r="A19" s="26" t="n">
        <v>190001</v>
      </c>
      <c r="B19" s="27" t="s">
        <v>42</v>
      </c>
      <c r="C19" s="28" t="n">
        <v>2910819</v>
      </c>
      <c r="D19" s="28"/>
      <c r="E19" s="28" t="n">
        <v>2910819</v>
      </c>
      <c r="F19" s="29" t="s">
        <v>28</v>
      </c>
    </row>
    <row r="20" customFormat="false" ht="15" hidden="false" customHeight="false" outlineLevel="0" collapsed="false">
      <c r="A20" s="16" t="n">
        <v>200000</v>
      </c>
      <c r="B20" s="30" t="s">
        <v>43</v>
      </c>
      <c r="C20" s="20" t="n">
        <v>2636860</v>
      </c>
      <c r="D20" s="20"/>
      <c r="E20" s="20" t="n">
        <v>2636860</v>
      </c>
      <c r="F20" s="31" t="s">
        <v>28</v>
      </c>
    </row>
    <row r="21" customFormat="false" ht="15" hidden="false" customHeight="false" outlineLevel="0" collapsed="false">
      <c r="A21" s="26" t="n">
        <v>200001</v>
      </c>
      <c r="B21" s="27" t="s">
        <v>44</v>
      </c>
      <c r="C21" s="28" t="n">
        <v>2491451</v>
      </c>
      <c r="D21" s="28"/>
      <c r="E21" s="28" t="n">
        <v>2491451</v>
      </c>
      <c r="F21" s="29" t="s">
        <v>28</v>
      </c>
    </row>
    <row r="22" customFormat="false" ht="15" hidden="false" customHeight="false" outlineLevel="0" collapsed="false">
      <c r="A22" s="16" t="n">
        <v>200002</v>
      </c>
      <c r="B22" s="30" t="s">
        <v>45</v>
      </c>
      <c r="C22" s="20" t="n">
        <v>2749415</v>
      </c>
      <c r="D22" s="20"/>
      <c r="E22" s="20" t="n">
        <v>2749415</v>
      </c>
      <c r="F22" s="31" t="s">
        <v>28</v>
      </c>
    </row>
    <row r="23" customFormat="false" ht="15" hidden="false" customHeight="false" outlineLevel="0" collapsed="false">
      <c r="A23" s="26" t="n">
        <v>200003</v>
      </c>
      <c r="B23" s="27" t="s">
        <v>46</v>
      </c>
      <c r="C23" s="28" t="n">
        <v>4156940</v>
      </c>
      <c r="D23" s="28"/>
      <c r="E23" s="28" t="n">
        <v>4156940</v>
      </c>
      <c r="F23" s="29" t="s">
        <v>28</v>
      </c>
    </row>
    <row r="24" customFormat="false" ht="15" hidden="false" customHeight="false" outlineLevel="0" collapsed="false">
      <c r="A24" s="16" t="n">
        <v>200004</v>
      </c>
      <c r="B24" s="30" t="s">
        <v>47</v>
      </c>
      <c r="C24" s="20" t="n">
        <v>697470</v>
      </c>
      <c r="D24" s="20"/>
      <c r="E24" s="20" t="n">
        <v>697470</v>
      </c>
      <c r="F24" s="31" t="s">
        <v>28</v>
      </c>
    </row>
    <row r="25" customFormat="false" ht="15" hidden="false" customHeight="false" outlineLevel="0" collapsed="false">
      <c r="A25" s="26" t="n">
        <v>210000</v>
      </c>
      <c r="B25" s="27" t="s">
        <v>48</v>
      </c>
      <c r="C25" s="28"/>
      <c r="D25" s="28" t="n">
        <v>3465559</v>
      </c>
      <c r="E25" s="28" t="n">
        <v>-3465559</v>
      </c>
      <c r="F25" s="29" t="s">
        <v>28</v>
      </c>
    </row>
    <row r="26" customFormat="false" ht="15" hidden="false" customHeight="false" outlineLevel="0" collapsed="false">
      <c r="A26" s="16" t="n">
        <v>210001</v>
      </c>
      <c r="B26" s="30" t="s">
        <v>49</v>
      </c>
      <c r="C26" s="20"/>
      <c r="D26" s="20" t="n">
        <v>5571502</v>
      </c>
      <c r="E26" s="20" t="n">
        <v>-5571502</v>
      </c>
      <c r="F26" s="31" t="s">
        <v>28</v>
      </c>
    </row>
    <row r="27" customFormat="false" ht="15" hidden="false" customHeight="false" outlineLevel="0" collapsed="false">
      <c r="A27" s="26" t="n">
        <v>210002</v>
      </c>
      <c r="B27" s="27" t="s">
        <v>50</v>
      </c>
      <c r="C27" s="28"/>
      <c r="D27" s="28" t="n">
        <v>3071883</v>
      </c>
      <c r="E27" s="28" t="n">
        <v>-3071883</v>
      </c>
      <c r="F27" s="29" t="s">
        <v>28</v>
      </c>
    </row>
    <row r="28" customFormat="false" ht="15" hidden="false" customHeight="false" outlineLevel="0" collapsed="false">
      <c r="A28" s="16" t="n">
        <v>210003</v>
      </c>
      <c r="B28" s="30" t="s">
        <v>51</v>
      </c>
      <c r="C28" s="20"/>
      <c r="D28" s="20" t="n">
        <v>1636960</v>
      </c>
      <c r="E28" s="20" t="n">
        <v>-1636960</v>
      </c>
      <c r="F28" s="31" t="s">
        <v>28</v>
      </c>
    </row>
    <row r="29" customFormat="false" ht="15" hidden="false" customHeight="false" outlineLevel="0" collapsed="false">
      <c r="A29" s="26" t="n">
        <v>300000</v>
      </c>
      <c r="B29" s="27" t="s">
        <v>52</v>
      </c>
      <c r="C29" s="28" t="n">
        <v>1356642</v>
      </c>
      <c r="D29" s="28"/>
      <c r="E29" s="28" t="n">
        <v>1356642</v>
      </c>
      <c r="F29" s="29" t="s">
        <v>28</v>
      </c>
    </row>
    <row r="30" customFormat="false" ht="15" hidden="false" customHeight="false" outlineLevel="0" collapsed="false">
      <c r="A30" s="16" t="n">
        <v>300001</v>
      </c>
      <c r="B30" s="30" t="s">
        <v>53</v>
      </c>
      <c r="C30" s="20" t="n">
        <v>4389321</v>
      </c>
      <c r="D30" s="20"/>
      <c r="E30" s="20" t="n">
        <v>4389321</v>
      </c>
      <c r="F30" s="31" t="s">
        <v>28</v>
      </c>
    </row>
    <row r="31" customFormat="false" ht="15" hidden="false" customHeight="false" outlineLevel="0" collapsed="false">
      <c r="A31" s="26" t="n">
        <v>400000</v>
      </c>
      <c r="B31" s="27" t="s">
        <v>54</v>
      </c>
      <c r="C31" s="28"/>
      <c r="D31" s="28" t="n">
        <v>4708610</v>
      </c>
      <c r="E31" s="28" t="n">
        <v>-4708610</v>
      </c>
      <c r="F31" s="29" t="s">
        <v>28</v>
      </c>
    </row>
    <row r="32" customFormat="false" ht="15" hidden="false" customHeight="false" outlineLevel="0" collapsed="false">
      <c r="A32" s="16" t="n">
        <v>400001</v>
      </c>
      <c r="B32" s="30" t="s">
        <v>55</v>
      </c>
      <c r="C32" s="20"/>
      <c r="D32" s="20" t="n">
        <v>1327849</v>
      </c>
      <c r="E32" s="20" t="n">
        <v>-1327849</v>
      </c>
      <c r="F32" s="31" t="s">
        <v>28</v>
      </c>
    </row>
    <row r="33" customFormat="false" ht="15" hidden="false" customHeight="false" outlineLevel="0" collapsed="false">
      <c r="A33" s="26" t="n">
        <v>400002</v>
      </c>
      <c r="B33" s="27" t="s">
        <v>56</v>
      </c>
      <c r="C33" s="28"/>
      <c r="D33" s="28" t="n">
        <v>46144</v>
      </c>
      <c r="E33" s="28" t="n">
        <v>-46144</v>
      </c>
      <c r="F33" s="29" t="s">
        <v>28</v>
      </c>
    </row>
    <row r="34" customFormat="false" ht="15" hidden="false" customHeight="false" outlineLevel="0" collapsed="false">
      <c r="A34" s="16" t="n">
        <v>400003</v>
      </c>
      <c r="B34" s="30" t="s">
        <v>57</v>
      </c>
      <c r="C34" s="20"/>
      <c r="D34" s="20" t="n">
        <v>61154</v>
      </c>
      <c r="E34" s="20" t="n">
        <v>-61154</v>
      </c>
      <c r="F34" s="31" t="s">
        <v>28</v>
      </c>
    </row>
    <row r="35" customFormat="false" ht="15" hidden="false" customHeight="false" outlineLevel="0" collapsed="false">
      <c r="A35" s="26" t="n">
        <v>400004</v>
      </c>
      <c r="B35" s="27" t="s">
        <v>58</v>
      </c>
      <c r="C35" s="28"/>
      <c r="D35" s="28" t="n">
        <v>26777</v>
      </c>
      <c r="E35" s="28" t="n">
        <v>-26777</v>
      </c>
      <c r="F35" s="29" t="s">
        <v>28</v>
      </c>
    </row>
    <row r="36" customFormat="false" ht="15" hidden="false" customHeight="false" outlineLevel="0" collapsed="false">
      <c r="A36" s="16" t="n">
        <v>400005</v>
      </c>
      <c r="B36" s="30" t="s">
        <v>59</v>
      </c>
      <c r="C36" s="20"/>
      <c r="D36" s="20" t="n">
        <v>8895</v>
      </c>
      <c r="E36" s="20" t="n">
        <v>-8895</v>
      </c>
      <c r="F36" s="31" t="s">
        <v>28</v>
      </c>
    </row>
    <row r="37" customFormat="false" ht="15" hidden="false" customHeight="false" outlineLevel="0" collapsed="false">
      <c r="A37" s="26" t="n">
        <v>500001</v>
      </c>
      <c r="B37" s="27" t="s">
        <v>60</v>
      </c>
      <c r="C37" s="28"/>
      <c r="D37" s="28" t="n">
        <v>49235</v>
      </c>
      <c r="E37" s="28" t="n">
        <v>-49235</v>
      </c>
      <c r="F37" s="29" t="s">
        <v>28</v>
      </c>
    </row>
    <row r="38" customFormat="false" ht="15" hidden="false" customHeight="false" outlineLevel="0" collapsed="false">
      <c r="A38" s="16" t="n">
        <v>500002</v>
      </c>
      <c r="B38" s="30" t="s">
        <v>61</v>
      </c>
      <c r="C38" s="20"/>
      <c r="D38" s="20" t="n">
        <v>468027</v>
      </c>
      <c r="E38" s="20" t="n">
        <v>-468027</v>
      </c>
      <c r="F38" s="31" t="s">
        <v>28</v>
      </c>
    </row>
    <row r="39" customFormat="false" ht="15" hidden="false" customHeight="false" outlineLevel="0" collapsed="false">
      <c r="A39" s="26" t="n">
        <v>500003</v>
      </c>
      <c r="B39" s="27" t="s">
        <v>62</v>
      </c>
      <c r="C39" s="28"/>
      <c r="D39" s="28" t="n">
        <v>24272</v>
      </c>
      <c r="E39" s="28" t="n">
        <v>-24272</v>
      </c>
      <c r="F39" s="29" t="s">
        <v>28</v>
      </c>
    </row>
    <row r="40" customFormat="false" ht="15" hidden="false" customHeight="false" outlineLevel="0" collapsed="false">
      <c r="A40" s="16" t="n">
        <v>600001</v>
      </c>
      <c r="B40" s="30" t="s">
        <v>63</v>
      </c>
      <c r="C40" s="20"/>
      <c r="D40" s="20" t="n">
        <v>68716</v>
      </c>
      <c r="E40" s="20" t="n">
        <v>-68716</v>
      </c>
      <c r="F40" s="31" t="s">
        <v>28</v>
      </c>
    </row>
    <row r="41" customFormat="false" ht="15" hidden="false" customHeight="false" outlineLevel="0" collapsed="false">
      <c r="A41" s="26" t="n">
        <v>600002</v>
      </c>
      <c r="B41" s="27" t="s">
        <v>64</v>
      </c>
      <c r="C41" s="28"/>
      <c r="D41" s="28" t="n">
        <v>2038196</v>
      </c>
      <c r="E41" s="28" t="n">
        <v>-2038196</v>
      </c>
      <c r="F41" s="29" t="s">
        <v>28</v>
      </c>
    </row>
    <row r="42" customFormat="false" ht="15" hidden="false" customHeight="false" outlineLevel="0" collapsed="false">
      <c r="A42" s="16" t="n">
        <v>600003</v>
      </c>
      <c r="B42" s="30" t="s">
        <v>65</v>
      </c>
      <c r="C42" s="20"/>
      <c r="D42" s="20" t="n">
        <v>2912173</v>
      </c>
      <c r="E42" s="20" t="n">
        <v>-2912173</v>
      </c>
      <c r="F42" s="31" t="s">
        <v>28</v>
      </c>
    </row>
    <row r="43" customFormat="false" ht="15" hidden="false" customHeight="false" outlineLevel="0" collapsed="false">
      <c r="A43" s="26" t="n">
        <v>700001</v>
      </c>
      <c r="B43" s="27" t="s">
        <v>66</v>
      </c>
      <c r="C43" s="28"/>
      <c r="D43" s="28" t="n">
        <v>2877999</v>
      </c>
      <c r="E43" s="28" t="n">
        <v>-2877999</v>
      </c>
      <c r="F43" s="29" t="s">
        <v>28</v>
      </c>
    </row>
    <row r="44" customFormat="false" ht="15" hidden="false" customHeight="false" outlineLevel="0" collapsed="false">
      <c r="A44" s="16" t="n">
        <v>700002</v>
      </c>
      <c r="B44" s="30" t="s">
        <v>67</v>
      </c>
      <c r="C44" s="20" t="n">
        <v>240904</v>
      </c>
      <c r="D44" s="20"/>
      <c r="E44" s="20" t="n">
        <v>240904</v>
      </c>
      <c r="F44" s="31" t="s">
        <v>28</v>
      </c>
    </row>
    <row r="45" customFormat="false" ht="15" hidden="false" customHeight="false" outlineLevel="0" collapsed="false">
      <c r="A45" s="26" t="n">
        <v>700003</v>
      </c>
      <c r="B45" s="27" t="s">
        <v>68</v>
      </c>
      <c r="C45" s="28"/>
      <c r="D45" s="28" t="n">
        <v>1812976</v>
      </c>
      <c r="E45" s="28" t="n">
        <v>-1812976</v>
      </c>
      <c r="F45" s="29" t="s">
        <v>28</v>
      </c>
    </row>
    <row r="46" customFormat="false" ht="15" hidden="false" customHeight="false" outlineLevel="0" collapsed="false">
      <c r="A46" s="16" t="n">
        <v>700004</v>
      </c>
      <c r="B46" s="30" t="s">
        <v>69</v>
      </c>
      <c r="C46" s="20"/>
      <c r="D46" s="20" t="n">
        <v>6464202</v>
      </c>
      <c r="E46" s="20" t="n">
        <v>-6464202</v>
      </c>
      <c r="F46" s="31" t="s">
        <v>28</v>
      </c>
    </row>
    <row r="47" customFormat="false" ht="15" hidden="false" customHeight="false" outlineLevel="0" collapsed="false">
      <c r="A47" s="26" t="n">
        <v>700005</v>
      </c>
      <c r="B47" s="27" t="s">
        <v>70</v>
      </c>
      <c r="C47" s="28"/>
      <c r="D47" s="28" t="n">
        <v>4164931</v>
      </c>
      <c r="E47" s="28" t="n">
        <v>-4164931</v>
      </c>
      <c r="F47" s="29" t="s">
        <v>28</v>
      </c>
    </row>
    <row r="48" customFormat="false" ht="15" hidden="false" customHeight="false" outlineLevel="0" collapsed="false">
      <c r="A48" s="16" t="n">
        <v>700006</v>
      </c>
      <c r="B48" s="30" t="s">
        <v>71</v>
      </c>
      <c r="C48" s="20"/>
      <c r="D48" s="20" t="n">
        <v>4388842</v>
      </c>
      <c r="E48" s="20" t="n">
        <v>-4388842</v>
      </c>
      <c r="F48" s="31" t="s">
        <v>28</v>
      </c>
    </row>
    <row r="49" customFormat="false" ht="15" hidden="false" customHeight="false" outlineLevel="0" collapsed="false">
      <c r="A49" s="32" t="n">
        <v>800001</v>
      </c>
      <c r="B49" s="33" t="s">
        <v>72</v>
      </c>
      <c r="C49" s="34"/>
      <c r="D49" s="34" t="n">
        <v>20580000</v>
      </c>
      <c r="E49" s="34" t="n">
        <v>-20580000</v>
      </c>
      <c r="F49" s="35" t="s">
        <v>14</v>
      </c>
    </row>
    <row r="50" customFormat="false" ht="15" hidden="false" customHeight="false" outlineLevel="0" collapsed="false">
      <c r="A50" s="32" t="n">
        <v>800002</v>
      </c>
      <c r="B50" s="33" t="s">
        <v>73</v>
      </c>
      <c r="C50" s="34"/>
      <c r="D50" s="34" t="n">
        <v>2050000</v>
      </c>
      <c r="E50" s="34" t="n">
        <v>-2050000</v>
      </c>
      <c r="F50" s="35" t="s">
        <v>15</v>
      </c>
    </row>
    <row r="51" customFormat="false" ht="15" hidden="false" customHeight="false" outlineLevel="0" collapsed="false">
      <c r="A51" s="32" t="n">
        <v>800003</v>
      </c>
      <c r="B51" s="33" t="s">
        <v>74</v>
      </c>
      <c r="C51" s="34"/>
      <c r="D51" s="34" t="n">
        <v>5105000</v>
      </c>
      <c r="E51" s="34" t="n">
        <v>-5105000</v>
      </c>
      <c r="F51" s="35" t="s">
        <v>15</v>
      </c>
    </row>
    <row r="52" customFormat="false" ht="15" hidden="false" customHeight="false" outlineLevel="0" collapsed="false">
      <c r="A52" s="32" t="n">
        <v>800004</v>
      </c>
      <c r="B52" s="33" t="s">
        <v>75</v>
      </c>
      <c r="C52" s="34"/>
      <c r="D52" s="34" t="n">
        <v>2048000</v>
      </c>
      <c r="E52" s="34" t="n">
        <v>-2048000</v>
      </c>
      <c r="F52" s="35" t="s">
        <v>15</v>
      </c>
    </row>
    <row r="53" customFormat="false" ht="15" hidden="false" customHeight="false" outlineLevel="0" collapsed="false">
      <c r="A53" s="32" t="n">
        <v>800005</v>
      </c>
      <c r="B53" s="33" t="s">
        <v>76</v>
      </c>
      <c r="C53" s="34"/>
      <c r="D53" s="34" t="n">
        <v>852000</v>
      </c>
      <c r="E53" s="34" t="n">
        <v>-852000</v>
      </c>
      <c r="F53" s="35" t="s">
        <v>16</v>
      </c>
    </row>
    <row r="54" customFormat="false" ht="15" hidden="false" customHeight="false" outlineLevel="0" collapsed="false">
      <c r="A54" s="32" t="n">
        <v>800006</v>
      </c>
      <c r="B54" s="33" t="s">
        <v>77</v>
      </c>
      <c r="C54" s="34"/>
      <c r="D54" s="34" t="n">
        <v>2205000</v>
      </c>
      <c r="E54" s="34" t="n">
        <v>-2205000</v>
      </c>
      <c r="F54" s="35" t="s">
        <v>17</v>
      </c>
    </row>
    <row r="55" customFormat="false" ht="15" hidden="false" customHeight="false" outlineLevel="0" collapsed="false">
      <c r="A55" s="32" t="n">
        <v>800007</v>
      </c>
      <c r="B55" s="33" t="s">
        <v>78</v>
      </c>
      <c r="C55" s="34"/>
      <c r="D55" s="34" t="n">
        <v>1855000</v>
      </c>
      <c r="E55" s="34" t="n">
        <v>-1855000</v>
      </c>
      <c r="F55" s="35" t="s">
        <v>17</v>
      </c>
    </row>
    <row r="56" customFormat="false" ht="15" hidden="false" customHeight="false" outlineLevel="0" collapsed="false">
      <c r="A56" s="32" t="n">
        <v>800008</v>
      </c>
      <c r="B56" s="33" t="s">
        <v>79</v>
      </c>
      <c r="C56" s="34"/>
      <c r="D56" s="34" t="n">
        <v>3105000</v>
      </c>
      <c r="E56" s="34" t="n">
        <v>-3105000</v>
      </c>
      <c r="F56" s="35" t="s">
        <v>18</v>
      </c>
    </row>
    <row r="57" customFormat="false" ht="15" hidden="false" customHeight="false" outlineLevel="0" collapsed="false">
      <c r="A57" s="26" t="n">
        <v>900001</v>
      </c>
      <c r="B57" s="27" t="s">
        <v>80</v>
      </c>
      <c r="C57" s="28" t="n">
        <v>2395349</v>
      </c>
      <c r="D57" s="28"/>
      <c r="E57" s="28" t="n">
        <v>2395349</v>
      </c>
      <c r="F57" s="29" t="s">
        <v>28</v>
      </c>
    </row>
    <row r="58" customFormat="false" ht="15" hidden="false" customHeight="false" outlineLevel="0" collapsed="false">
      <c r="A58" s="16" t="n">
        <v>900002</v>
      </c>
      <c r="B58" s="30" t="s">
        <v>81</v>
      </c>
      <c r="C58" s="20" t="n">
        <v>373652</v>
      </c>
      <c r="D58" s="20"/>
      <c r="E58" s="20" t="n">
        <v>373652</v>
      </c>
      <c r="F58" s="31" t="s">
        <v>28</v>
      </c>
    </row>
    <row r="59" customFormat="false" ht="15" hidden="false" customHeight="false" outlineLevel="0" collapsed="false">
      <c r="A59" s="26" t="n">
        <v>900003</v>
      </c>
      <c r="B59" s="27" t="s">
        <v>82</v>
      </c>
      <c r="C59" s="28" t="n">
        <v>3027260</v>
      </c>
      <c r="D59" s="28"/>
      <c r="E59" s="28" t="n">
        <v>3027260</v>
      </c>
      <c r="F59" s="29" t="s">
        <v>28</v>
      </c>
    </row>
    <row r="60" customFormat="false" ht="15" hidden="false" customHeight="false" outlineLevel="0" collapsed="false">
      <c r="A60" s="16" t="n">
        <v>900004</v>
      </c>
      <c r="B60" s="30" t="s">
        <v>83</v>
      </c>
      <c r="C60" s="20" t="n">
        <v>7325600</v>
      </c>
      <c r="D60" s="20"/>
      <c r="E60" s="20" t="n">
        <v>7325600</v>
      </c>
      <c r="F60" s="31" t="s">
        <v>28</v>
      </c>
    </row>
    <row r="61" customFormat="false" ht="15" hidden="false" customHeight="false" outlineLevel="0" collapsed="false">
      <c r="A61" s="26" t="n">
        <v>900005</v>
      </c>
      <c r="B61" s="27" t="s">
        <v>84</v>
      </c>
      <c r="C61" s="28" t="n">
        <v>2737750</v>
      </c>
      <c r="D61" s="28"/>
      <c r="E61" s="28" t="n">
        <v>2737750</v>
      </c>
      <c r="F61" s="29" t="s">
        <v>28</v>
      </c>
    </row>
    <row r="62" customFormat="false" ht="15" hidden="false" customHeight="false" outlineLevel="0" collapsed="false">
      <c r="A62" s="16" t="n">
        <v>900006</v>
      </c>
      <c r="B62" s="30" t="s">
        <v>85</v>
      </c>
      <c r="C62" s="20" t="n">
        <v>285000</v>
      </c>
      <c r="D62" s="20"/>
      <c r="E62" s="20" t="n">
        <v>285000</v>
      </c>
      <c r="F62" s="31" t="s">
        <v>28</v>
      </c>
    </row>
    <row r="63" customFormat="false" ht="15" hidden="false" customHeight="false" outlineLevel="0" collapsed="false">
      <c r="A63" s="26" t="n">
        <v>900007</v>
      </c>
      <c r="B63" s="27" t="s">
        <v>86</v>
      </c>
      <c r="C63" s="28" t="n">
        <v>20000</v>
      </c>
      <c r="D63" s="28"/>
      <c r="E63" s="28" t="n">
        <v>20000</v>
      </c>
      <c r="F63" s="29" t="s">
        <v>28</v>
      </c>
    </row>
    <row r="64" customFormat="false" ht="15" hidden="false" customHeight="false" outlineLevel="0" collapsed="false">
      <c r="A64" s="16" t="n">
        <v>900008</v>
      </c>
      <c r="B64" s="30" t="s">
        <v>87</v>
      </c>
      <c r="C64" s="20" t="n">
        <v>295766</v>
      </c>
      <c r="D64" s="20"/>
      <c r="E64" s="20" t="n">
        <v>295766</v>
      </c>
      <c r="F64" s="31" t="s">
        <v>28</v>
      </c>
    </row>
    <row r="65" customFormat="false" ht="15" hidden="false" customHeight="false" outlineLevel="0" collapsed="false">
      <c r="A65" s="26" t="n">
        <v>900009</v>
      </c>
      <c r="B65" s="27" t="s">
        <v>88</v>
      </c>
      <c r="C65" s="28" t="n">
        <v>757160</v>
      </c>
      <c r="D65" s="28"/>
      <c r="E65" s="28" t="n">
        <v>757160</v>
      </c>
      <c r="F65" s="29" t="s">
        <v>28</v>
      </c>
    </row>
    <row r="66" customFormat="false" ht="15" hidden="false" customHeight="false" outlineLevel="0" collapsed="false">
      <c r="A66" s="16" t="n">
        <v>900010</v>
      </c>
      <c r="B66" s="30" t="s">
        <v>89</v>
      </c>
      <c r="C66" s="20" t="n">
        <v>20445</v>
      </c>
      <c r="D66" s="20"/>
      <c r="E66" s="20" t="n">
        <v>20445</v>
      </c>
      <c r="F66" s="31" t="s">
        <v>28</v>
      </c>
    </row>
    <row r="67" customFormat="false" ht="15" hidden="false" customHeight="false" outlineLevel="0" collapsed="false">
      <c r="A67" s="26" t="n">
        <v>900011</v>
      </c>
      <c r="B67" s="27" t="s">
        <v>90</v>
      </c>
      <c r="C67" s="28" t="n">
        <v>282065</v>
      </c>
      <c r="D67" s="28"/>
      <c r="E67" s="28" t="n">
        <v>282065</v>
      </c>
      <c r="F67" s="29" t="s">
        <v>28</v>
      </c>
    </row>
    <row r="68" customFormat="false" ht="15" hidden="false" customHeight="false" outlineLevel="0" collapsed="false">
      <c r="A68" s="16" t="n">
        <v>900012</v>
      </c>
      <c r="B68" s="30" t="s">
        <v>91</v>
      </c>
      <c r="C68" s="20" t="n">
        <v>2585</v>
      </c>
      <c r="D68" s="20"/>
      <c r="E68" s="20" t="n">
        <v>2585</v>
      </c>
      <c r="F68" s="31" t="s">
        <v>28</v>
      </c>
    </row>
    <row r="69" customFormat="false" ht="15" hidden="false" customHeight="false" outlineLevel="0" collapsed="false">
      <c r="A69" s="26" t="n">
        <v>900013</v>
      </c>
      <c r="B69" s="27" t="s">
        <v>92</v>
      </c>
      <c r="C69" s="28" t="n">
        <v>304883</v>
      </c>
      <c r="D69" s="28"/>
      <c r="E69" s="28" t="n">
        <v>304883</v>
      </c>
      <c r="F69" s="29" t="s">
        <v>28</v>
      </c>
    </row>
    <row r="70" customFormat="false" ht="15" hidden="false" customHeight="false" outlineLevel="0" collapsed="false">
      <c r="A70" s="16" t="n">
        <v>900014</v>
      </c>
      <c r="B70" s="30" t="s">
        <v>93</v>
      </c>
      <c r="C70" s="20" t="n">
        <v>28696</v>
      </c>
      <c r="D70" s="20"/>
      <c r="E70" s="20" t="n">
        <v>28696</v>
      </c>
      <c r="F70" s="31" t="s">
        <v>28</v>
      </c>
    </row>
    <row r="71" customFormat="false" ht="15" hidden="false" customHeight="false" outlineLevel="0" collapsed="false">
      <c r="A71" s="26" t="n">
        <v>900015</v>
      </c>
      <c r="B71" s="27" t="s">
        <v>94</v>
      </c>
      <c r="C71" s="28" t="n">
        <v>1242</v>
      </c>
      <c r="D71" s="28"/>
      <c r="E71" s="28" t="n">
        <v>1242</v>
      </c>
      <c r="F71" s="29" t="s">
        <v>28</v>
      </c>
    </row>
    <row r="72" customFormat="false" ht="15" hidden="false" customHeight="false" outlineLevel="0" collapsed="false">
      <c r="A72" s="16" t="n">
        <v>900016</v>
      </c>
      <c r="B72" s="30" t="s">
        <v>95</v>
      </c>
      <c r="C72" s="20" t="n">
        <v>254332</v>
      </c>
      <c r="D72" s="20"/>
      <c r="E72" s="20" t="n">
        <v>254332</v>
      </c>
      <c r="F72" s="31" t="s">
        <v>28</v>
      </c>
    </row>
    <row r="73" customFormat="false" ht="15" hidden="false" customHeight="false" outlineLevel="0" collapsed="false">
      <c r="A73" s="26" t="n">
        <v>900017</v>
      </c>
      <c r="B73" s="27" t="s">
        <v>96</v>
      </c>
      <c r="C73" s="28" t="n">
        <v>2216</v>
      </c>
      <c r="D73" s="28"/>
      <c r="E73" s="28" t="n">
        <v>2216</v>
      </c>
      <c r="F73" s="29" t="s">
        <v>28</v>
      </c>
    </row>
    <row r="74" customFormat="false" ht="15" hidden="false" customHeight="false" outlineLevel="0" collapsed="false">
      <c r="A74" s="16" t="n">
        <v>900018</v>
      </c>
      <c r="B74" s="30" t="s">
        <v>97</v>
      </c>
      <c r="C74" s="20" t="n">
        <v>831760</v>
      </c>
      <c r="D74" s="20"/>
      <c r="E74" s="20" t="n">
        <v>831760</v>
      </c>
      <c r="F74" s="31" t="s">
        <v>28</v>
      </c>
    </row>
    <row r="75" customFormat="false" ht="15" hidden="false" customHeight="false" outlineLevel="0" collapsed="false">
      <c r="A75" s="26" t="n">
        <v>900019</v>
      </c>
      <c r="B75" s="27" t="s">
        <v>98</v>
      </c>
      <c r="C75" s="28" t="n">
        <v>22134</v>
      </c>
      <c r="D75" s="28"/>
      <c r="E75" s="28" t="n">
        <v>22134</v>
      </c>
      <c r="F75" s="29" t="s">
        <v>28</v>
      </c>
    </row>
    <row r="76" customFormat="false" ht="15" hidden="false" customHeight="false" outlineLevel="0" collapsed="false">
      <c r="A76" s="16" t="n">
        <v>910001</v>
      </c>
      <c r="B76" s="30" t="s">
        <v>99</v>
      </c>
      <c r="C76" s="20"/>
      <c r="D76" s="20" t="n">
        <v>285405</v>
      </c>
      <c r="E76" s="20" t="n">
        <v>-285405</v>
      </c>
      <c r="F76" s="31" t="s">
        <v>28</v>
      </c>
    </row>
    <row r="77" customFormat="false" ht="15" hidden="false" customHeight="false" outlineLevel="0" collapsed="false">
      <c r="A77" s="26" t="n">
        <v>910002</v>
      </c>
      <c r="B77" s="27" t="s">
        <v>100</v>
      </c>
      <c r="C77" s="28" t="n">
        <v>5101792</v>
      </c>
      <c r="D77" s="28"/>
      <c r="E77" s="28" t="n">
        <v>5101792</v>
      </c>
      <c r="F77" s="29" t="s">
        <v>28</v>
      </c>
    </row>
    <row r="78" customFormat="false" ht="15" hidden="false" customHeight="false" outlineLevel="0" collapsed="false">
      <c r="A78" s="16" t="n">
        <v>910003</v>
      </c>
      <c r="B78" s="30" t="s">
        <v>101</v>
      </c>
      <c r="C78" s="20" t="n">
        <v>1016680</v>
      </c>
      <c r="D78" s="20"/>
      <c r="E78" s="20" t="n">
        <v>1016680</v>
      </c>
      <c r="F78" s="31" t="s">
        <v>28</v>
      </c>
    </row>
    <row r="79" customFormat="false" ht="15" hidden="false" customHeight="false" outlineLevel="0" collapsed="false">
      <c r="A79" s="26" t="n">
        <v>910004</v>
      </c>
      <c r="B79" s="27" t="s">
        <v>102</v>
      </c>
      <c r="C79" s="28" t="n">
        <v>750000</v>
      </c>
      <c r="D79" s="28"/>
      <c r="E79" s="28" t="n">
        <v>750000</v>
      </c>
      <c r="F79" s="29" t="s">
        <v>28</v>
      </c>
    </row>
    <row r="80" customFormat="false" ht="15" hidden="false" customHeight="false" outlineLevel="0" collapsed="false">
      <c r="A80" s="16" t="n">
        <v>910005</v>
      </c>
      <c r="B80" s="30" t="s">
        <v>103</v>
      </c>
      <c r="C80" s="20" t="n">
        <v>20000</v>
      </c>
      <c r="D80" s="20"/>
      <c r="E80" s="20" t="n">
        <v>20000</v>
      </c>
      <c r="F80" s="31" t="s">
        <v>28</v>
      </c>
    </row>
    <row r="81" customFormat="false" ht="15" hidden="false" customHeight="false" outlineLevel="0" collapsed="false">
      <c r="A81" s="26" t="n">
        <v>910006</v>
      </c>
      <c r="B81" s="27" t="s">
        <v>104</v>
      </c>
      <c r="C81" s="28" t="n">
        <v>1905750</v>
      </c>
      <c r="D81" s="28"/>
      <c r="E81" s="28" t="n">
        <v>1905750</v>
      </c>
      <c r="F81" s="29" t="s">
        <v>28</v>
      </c>
    </row>
    <row r="82" customFormat="false" ht="15" hidden="false" customHeight="false" outlineLevel="0" collapsed="false">
      <c r="A82" s="16" t="n">
        <v>910007</v>
      </c>
      <c r="B82" s="30" t="s">
        <v>105</v>
      </c>
      <c r="C82" s="20" t="n">
        <v>2378</v>
      </c>
      <c r="D82" s="20"/>
      <c r="E82" s="20" t="n">
        <v>2378</v>
      </c>
      <c r="F82" s="31" t="s">
        <v>28</v>
      </c>
    </row>
    <row r="83" customFormat="false" ht="15" hidden="false" customHeight="false" outlineLevel="0" collapsed="false">
      <c r="A83" s="26" t="n">
        <v>910008</v>
      </c>
      <c r="B83" s="27" t="s">
        <v>106</v>
      </c>
      <c r="C83" s="28" t="n">
        <v>1132550</v>
      </c>
      <c r="D83" s="28"/>
      <c r="E83" s="28" t="n">
        <v>1132550</v>
      </c>
      <c r="F83" s="29" t="s">
        <v>28</v>
      </c>
    </row>
    <row r="84" customFormat="false" ht="15" hidden="false" customHeight="false" outlineLevel="0" collapsed="false">
      <c r="A84" s="16" t="n">
        <v>910009</v>
      </c>
      <c r="B84" s="30" t="s">
        <v>107</v>
      </c>
      <c r="C84" s="20" t="n">
        <v>72017</v>
      </c>
      <c r="D84" s="20"/>
      <c r="E84" s="20" t="n">
        <v>72017</v>
      </c>
      <c r="F84" s="31" t="s">
        <v>28</v>
      </c>
    </row>
    <row r="85" customFormat="false" ht="15" hidden="false" customHeight="false" outlineLevel="0" collapsed="false">
      <c r="A85" s="26" t="n">
        <v>910010</v>
      </c>
      <c r="B85" s="27" t="s">
        <v>108</v>
      </c>
      <c r="C85" s="28" t="n">
        <v>60146</v>
      </c>
      <c r="D85" s="28"/>
      <c r="E85" s="28" t="n">
        <v>60146</v>
      </c>
      <c r="F85" s="29" t="s">
        <v>28</v>
      </c>
    </row>
    <row r="86" customFormat="false" ht="15" hidden="false" customHeight="false" outlineLevel="0" collapsed="false">
      <c r="A86" s="16" t="n">
        <v>910011</v>
      </c>
      <c r="B86" s="30" t="s">
        <v>109</v>
      </c>
      <c r="C86" s="20" t="n">
        <v>28480</v>
      </c>
      <c r="D86" s="20"/>
      <c r="E86" s="20" t="n">
        <v>28480</v>
      </c>
      <c r="F86" s="31" t="s">
        <v>28</v>
      </c>
    </row>
    <row r="87" customFormat="false" ht="15" hidden="false" customHeight="false" outlineLevel="0" collapsed="false">
      <c r="A87" s="26" t="n">
        <v>910012</v>
      </c>
      <c r="B87" s="27" t="s">
        <v>110</v>
      </c>
      <c r="C87" s="28" t="n">
        <v>23329</v>
      </c>
      <c r="D87" s="28"/>
      <c r="E87" s="28" t="n">
        <v>23329</v>
      </c>
      <c r="F87" s="29" t="s">
        <v>28</v>
      </c>
    </row>
    <row r="88" customFormat="false" ht="15" hidden="false" customHeight="false" outlineLevel="0" collapsed="false">
      <c r="A88" s="16" t="n">
        <v>910013</v>
      </c>
      <c r="B88" s="30" t="s">
        <v>111</v>
      </c>
      <c r="C88" s="20" t="n">
        <v>42612</v>
      </c>
      <c r="D88" s="20"/>
      <c r="E88" s="20" t="n">
        <v>42612</v>
      </c>
      <c r="F88" s="31" t="s">
        <v>28</v>
      </c>
    </row>
    <row r="89" customFormat="false" ht="15" hidden="false" customHeight="false" outlineLevel="0" collapsed="false">
      <c r="A89" s="26" t="n">
        <v>910014</v>
      </c>
      <c r="B89" s="27" t="s">
        <v>112</v>
      </c>
      <c r="C89" s="28" t="n">
        <v>196262</v>
      </c>
      <c r="D89" s="28"/>
      <c r="E89" s="28" t="n">
        <v>196262</v>
      </c>
      <c r="F89" s="29" t="s">
        <v>28</v>
      </c>
    </row>
    <row r="90" customFormat="false" ht="15" hidden="false" customHeight="false" outlineLevel="0" collapsed="false">
      <c r="A90" s="16" t="n">
        <v>910015</v>
      </c>
      <c r="B90" s="30" t="s">
        <v>113</v>
      </c>
      <c r="C90" s="20" t="n">
        <v>509260</v>
      </c>
      <c r="D90" s="20"/>
      <c r="E90" s="20" t="n">
        <v>509260</v>
      </c>
      <c r="F90" s="31" t="s">
        <v>28</v>
      </c>
    </row>
    <row r="91" customFormat="false" ht="15" hidden="false" customHeight="false" outlineLevel="0" collapsed="false">
      <c r="A91" s="26" t="n">
        <v>910016</v>
      </c>
      <c r="B91" s="27" t="s">
        <v>114</v>
      </c>
      <c r="C91" s="28" t="n">
        <v>1167</v>
      </c>
      <c r="D91" s="28"/>
      <c r="E91" s="28" t="n">
        <v>1167</v>
      </c>
      <c r="F91" s="29" t="s">
        <v>28</v>
      </c>
    </row>
    <row r="92" customFormat="false" ht="15" hidden="false" customHeight="false" outlineLevel="0" collapsed="false">
      <c r="A92" s="16" t="n">
        <v>910017</v>
      </c>
      <c r="B92" s="30" t="s">
        <v>115</v>
      </c>
      <c r="C92" s="20" t="n">
        <v>25665</v>
      </c>
      <c r="D92" s="20"/>
      <c r="E92" s="20" t="n">
        <v>25665</v>
      </c>
      <c r="F92" s="31" t="s">
        <v>28</v>
      </c>
    </row>
    <row r="93" customFormat="false" ht="15" hidden="false" customHeight="false" outlineLevel="0" collapsed="false">
      <c r="A93" s="26" t="n">
        <v>910018</v>
      </c>
      <c r="B93" s="27" t="s">
        <v>116</v>
      </c>
      <c r="C93" s="28" t="n">
        <v>7748720</v>
      </c>
      <c r="D93" s="28"/>
      <c r="E93" s="28" t="n">
        <v>7748720</v>
      </c>
      <c r="F93" s="29" t="s">
        <v>28</v>
      </c>
    </row>
    <row r="94" customFormat="false" ht="15" hidden="false" customHeight="true" outlineLevel="0" collapsed="false">
      <c r="A94" s="36" t="s">
        <v>117</v>
      </c>
      <c r="B94" s="36"/>
      <c r="C94" s="37" t="n">
        <f aca="false">SUM(C5:C93)</f>
        <v>92972000</v>
      </c>
      <c r="D94" s="37" t="n">
        <f aca="false">SUM(D5:D93)</f>
        <v>88605307</v>
      </c>
      <c r="E94" s="37" t="n">
        <f aca="false">C94-D94</f>
        <v>4366693</v>
      </c>
    </row>
    <row r="95" customFormat="false" ht="15" hidden="false" customHeight="true" outlineLevel="0" collapsed="false">
      <c r="A95" s="38" t="s">
        <v>118</v>
      </c>
      <c r="B95" s="38"/>
      <c r="C95" s="39" t="n">
        <f aca="false">C94-D94</f>
        <v>4366693</v>
      </c>
    </row>
  </sheetData>
  <mergeCells count="5">
    <mergeCell ref="A1:F1"/>
    <mergeCell ref="A2:F2"/>
    <mergeCell ref="A3:F3"/>
    <mergeCell ref="A94:B94"/>
    <mergeCell ref="A95:B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120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" hidden="false" customHeight="true" outlineLevel="0" collapsed="false">
      <c r="A5" s="40" t="s">
        <v>121</v>
      </c>
      <c r="B5" s="40"/>
      <c r="C5" s="40"/>
      <c r="D5" s="40"/>
      <c r="E5" s="40"/>
      <c r="F5" s="40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45" hidden="false" customHeight="true" outlineLevel="0" collapsed="false">
      <c r="A7" s="9" t="s">
        <v>122</v>
      </c>
      <c r="B7" s="9" t="s">
        <v>123</v>
      </c>
      <c r="C7" s="9" t="s">
        <v>124</v>
      </c>
      <c r="D7" s="9" t="s">
        <v>125</v>
      </c>
      <c r="E7" s="9" t="s">
        <v>126</v>
      </c>
      <c r="F7" s="9" t="s">
        <v>127</v>
      </c>
    </row>
    <row r="8" customFormat="false" ht="15" hidden="false" customHeight="false" outlineLevel="0" collapsed="false">
      <c r="A8" s="41" t="s">
        <v>14</v>
      </c>
      <c r="B8" s="13" t="n">
        <f aca="false">SUMIF('Year-End TB'!$F:$F,A8,'Year-End TB'!$E:$E)*-1</f>
        <v>23043496</v>
      </c>
      <c r="C8" s="13" t="n">
        <f aca="false">SUMIF('Prior Year TB'!$F:$F,A8,'Prior Year TB'!$E:$E)*-1</f>
        <v>20580000</v>
      </c>
      <c r="D8" s="14" t="n">
        <f aca="false">B8-C8</f>
        <v>2463496</v>
      </c>
      <c r="E8" s="42" t="n">
        <f aca="false">IF(C8=0,"-",D8/ABS(C8))</f>
        <v>0.119703401360544</v>
      </c>
      <c r="F8" s="43" t="str">
        <f aca="false">IF(B8=('Revenue Lead Sheet'!D8),"✓  Agrees","✗  Variance")</f>
        <v>✓  Agrees</v>
      </c>
    </row>
    <row r="9" customFormat="false" ht="15" hidden="false" customHeight="false" outlineLevel="0" collapsed="false">
      <c r="A9" s="44" t="s">
        <v>15</v>
      </c>
      <c r="B9" s="19" t="n">
        <f aca="false">SUMIF('Year-End TB'!$F:$F,A9,'Year-End TB'!$E:$E)*-1</f>
        <v>10143457</v>
      </c>
      <c r="C9" s="19" t="n">
        <f aca="false">SUMIF('Prior Year TB'!$F:$F,A9,'Prior Year TB'!$E:$E)*-1</f>
        <v>9203000</v>
      </c>
      <c r="D9" s="20" t="n">
        <f aca="false">B9-C9</f>
        <v>940457</v>
      </c>
      <c r="E9" s="45" t="n">
        <f aca="false">IF(C9=0,"-",D9/ABS(C9))</f>
        <v>0.102190264044333</v>
      </c>
      <c r="F9" s="46" t="str">
        <f aca="false">IF(B9=('Revenue Lead Sheet'!D9+'Revenue Lead Sheet'!D10+'Revenue Lead Sheet'!D11),"✓  Agrees","✗  Variance")</f>
        <v>✓  Agrees</v>
      </c>
    </row>
    <row r="10" customFormat="false" ht="15" hidden="false" customHeight="false" outlineLevel="0" collapsed="false">
      <c r="A10" s="41" t="s">
        <v>16</v>
      </c>
      <c r="B10" s="13" t="n">
        <f aca="false">SUMIF('Year-End TB'!$F:$F,A10,'Year-End TB'!$E:$E)*-1</f>
        <v>1003199</v>
      </c>
      <c r="C10" s="13" t="n">
        <f aca="false">SUMIF('Prior Year TB'!$F:$F,A10,'Prior Year TB'!$E:$E)*-1</f>
        <v>852000</v>
      </c>
      <c r="D10" s="14" t="n">
        <f aca="false">B10-C10</f>
        <v>151199</v>
      </c>
      <c r="E10" s="42" t="n">
        <f aca="false">IF(C10=0,"-",D10/ABS(C10))</f>
        <v>0.177463615023474</v>
      </c>
      <c r="F10" s="43" t="str">
        <f aca="false">IF(B10=('Revenue Lead Sheet'!D12),"✓  Agrees","✗  Variance")</f>
        <v>✓  Agrees</v>
      </c>
    </row>
    <row r="11" customFormat="false" ht="15" hidden="false" customHeight="false" outlineLevel="0" collapsed="false">
      <c r="A11" s="44" t="s">
        <v>17</v>
      </c>
      <c r="B11" s="19" t="n">
        <f aca="false">SUMIF('Year-End TB'!$F:$F,A11,'Year-End TB'!$E:$E)*-1</f>
        <v>4574445</v>
      </c>
      <c r="C11" s="19" t="n">
        <f aca="false">SUMIF('Prior Year TB'!$F:$F,A11,'Prior Year TB'!$E:$E)*-1</f>
        <v>4060000</v>
      </c>
      <c r="D11" s="20" t="n">
        <f aca="false">B11-C11</f>
        <v>514445</v>
      </c>
      <c r="E11" s="45" t="n">
        <f aca="false">IF(C11=0,"-",D11/ABS(C11))</f>
        <v>0.126710591133005</v>
      </c>
      <c r="F11" s="46" t="str">
        <f aca="false">IF(B11=('Revenue Lead Sheet'!D13+'Revenue Lead Sheet'!D14),"✓  Agrees","✗  Variance")</f>
        <v>✓  Agrees</v>
      </c>
    </row>
    <row r="12" customFormat="false" ht="15" hidden="false" customHeight="false" outlineLevel="0" collapsed="false">
      <c r="A12" s="41" t="s">
        <v>18</v>
      </c>
      <c r="B12" s="13" t="n">
        <f aca="false">SUMIF('Year-End TB'!$F:$F,A12,'Year-End TB'!$E:$E)*-1</f>
        <v>3402096</v>
      </c>
      <c r="C12" s="13" t="n">
        <f aca="false">SUMIF('Prior Year TB'!$F:$F,A12,'Prior Year TB'!$E:$E)*-1</f>
        <v>3105000</v>
      </c>
      <c r="D12" s="14" t="n">
        <f aca="false">B12-C12</f>
        <v>297096</v>
      </c>
      <c r="E12" s="42" t="n">
        <f aca="false">IF(C12=0,"-",D12/ABS(C12))</f>
        <v>0.0956830917874396</v>
      </c>
      <c r="F12" s="43" t="str">
        <f aca="false">IF(B12=('Revenue Lead Sheet'!D15),"✓  Agrees","✗  Variance")</f>
        <v>✓  Agrees</v>
      </c>
    </row>
    <row r="13" customFormat="false" ht="15" hidden="false" customHeight="false" outlineLevel="0" collapsed="false">
      <c r="A13" s="47" t="s">
        <v>19</v>
      </c>
      <c r="B13" s="23" t="n">
        <f aca="false">SUM(B8:B12)</f>
        <v>42166693</v>
      </c>
      <c r="C13" s="23" t="n">
        <f aca="false">SUM(C8:C12)</f>
        <v>37800000</v>
      </c>
      <c r="D13" s="23" t="n">
        <f aca="false">B13-C13</f>
        <v>4366693</v>
      </c>
      <c r="E13" s="24" t="n">
        <f aca="false">IF(C13=0,"-",D13/ABS(C13))</f>
        <v>0.115520978835979</v>
      </c>
      <c r="F13" s="48" t="str">
        <f aca="false">IF(B13='Revenue Lead Sheet'!D16,"✓  Total Agrees","✗  Total Variance")</f>
        <v>✓  Total Agrees</v>
      </c>
    </row>
  </sheetData>
  <mergeCells count="6">
    <mergeCell ref="A1:F1"/>
    <mergeCell ref="A2:F2"/>
    <mergeCell ref="A3:F3"/>
    <mergeCell ref="A4:F4"/>
    <mergeCell ref="A5:F5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2026-03-19T00:45:36Z</dcterms:created>
  <dc:creator>openpyxl</dc:creator>
  <dc:description/>
  <dc:language>en-US</dc:language>
  <cp:lastModifiedBy/>
  <dcterms:modified xsi:type="dcterms:W3CDTF">2026-03-19T00:45:36Z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